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Assumptions" state="visible" r:id="rId5"/>
    <sheet sheetId="3" name="Model" state="visible" r:id="rId6"/>
    <sheet sheetId="4" name="Market" state="visible" r:id="rId7"/>
    <sheet sheetId="5" name="Competition" state="visible" r:id="rId8"/>
    <sheet sheetId="6" name="GTM-Creators" state="visible" r:id="rId9"/>
    <sheet sheetId="7" name="GTM-Viewers" state="visible" r:id="rId10"/>
    <sheet sheetId="8" name="Bootstrapping" state="visible" r:id="rId11"/>
    <sheet sheetId="9" name="UnitEcon" state="visible" r:id="rId12"/>
    <sheet sheetId="10" name="Hiring" state="visible" r:id="rId13"/>
    <sheet sheetId="11" name="UseOfFunds" state="visible" r:id="rId14"/>
    <sheet sheetId="12" name="Valuation" state="visible" r:id="rId15"/>
    <sheet sheetId="13" name="Risks" state="visible" r:id="rId16"/>
  </sheets>
  <calcPr calcId="171027" fullCalcOnLoad="1"/>
</workbook>
</file>

<file path=xl/sharedStrings.xml><?xml version="1.0" encoding="utf-8"?>
<sst xmlns="http://schemas.openxmlformats.org/spreadsheetml/2006/main" count="696" uniqueCount="609">
  <si>
    <t>YouMakeTV — 5-Year Business &amp; Financial Model</t>
  </si>
  <si>
    <t/>
  </si>
  <si>
    <t>HOW TO USE THIS WORKBOOK</t>
  </si>
  <si>
    <t>1. Go to the "Assumptions" sheet and set the Scenario switch (cell D3): 1 = Conservative, 2 = Base, 3 = Aggressive.</t>
  </si>
  <si>
    <t>2. Every yellow cell is an editable input. All white/grey cells are live formulas — do not overtype them.</t>
  </si>
  <si>
    <t>3. The "Model" sheet recalculates the full 5-year P&amp;L, cash position and KPIs from the Assumptions sheet.</t>
  </si>
  <si>
    <t>4. Future financing rounds (Series A / B) are editable inputs on the Model sheet, row "New funding".</t>
  </si>
  <si>
    <t>SHEETS</t>
  </si>
  <si>
    <t>• Assumptions — every driver of the model, with Conservative / Base / Aggressive values side by side.</t>
  </si>
  <si>
    <t>• Model — 5-year users, revenue, creator payouts, COGS, OPEX, EBITDA, cash and runway.</t>
  </si>
  <si>
    <t>• Market — TAM / SAM / SOM with CAGR and sources.</t>
  </si>
  <si>
    <t>• Competition — competitive landscape and positioning matrix.</t>
  </si>
  <si>
    <t>• GTM-Creators — creator acquisition channels: reach, cost, conversion, expected signups, CAC.</t>
  </si>
  <si>
    <t>• GTM-Viewers — viewer acquisition channels: budget, CPM, CTR, conversion, expected subscribers, CAC.</t>
  </si>
  <si>
    <t>• Bootstrapping — the 3-phase cold-start plan for marketplace liquidity.</t>
  </si>
  <si>
    <t>• UnitEcon — CAC, LTV and payback for subscribers, PPV buyers and creators (best / base / worst).</t>
  </si>
  <si>
    <t>• Hiring — role-by-role hiring plan, Years 1–3, with salaries.</t>
  </si>
  <si>
    <t>• UseOfFunds — allocation of the recommended seed round.</t>
  </si>
  <si>
    <t>• Valuation — comparable-company analysis and round-by-round valuation framework.</t>
  </si>
  <si>
    <t>• Risks — risk register with likelihood, impact and mitigations.</t>
  </si>
  <si>
    <t>MODELLING PRINCIPLES</t>
  </si>
  <si>
    <t>• Revenue is shown both as GROSS BILLINGS (what viewers pay) and NET REVENUE (platform take after creator payouts).</t>
  </si>
  <si>
    <t xml:space="preserve">  Investors should anchor on NET REVENUE — it is the comparable figure for marketplace businesses.</t>
  </si>
  <si>
    <t>• Subscriber dynamics use cohort decay: End = Begin × (1−churn)^12 + Adds × (1−churn)^6.</t>
  </si>
  <si>
    <t>• Marketing spend is DERIVED from growth targets (adds × CAC × paid share), so growth and budget always reconcile.</t>
  </si>
  <si>
    <t>• The Base case is deliberately sober: niche-SVOD churn (7–8%/mo early), no viral assumptions, paid-led early growth.</t>
  </si>
  <si>
    <t>DISCLAIMER: Market sizes are estimates compiled from public research (sources cited on the Market sheet).</t>
  </si>
  <si>
    <t>All projections are illustrative and depend on the assumptions herein. Prepared June 2026.</t>
  </si>
  <si>
    <t>Assumptions &amp; Scenario Drivers</t>
  </si>
  <si>
    <t>Scenario switch  (1 = Conservative, 2 = Base, 3 = Aggressive):</t>
  </si>
  <si>
    <t>Driver</t>
  </si>
  <si>
    <t>Unit</t>
  </si>
  <si>
    <t>Conservative</t>
  </si>
  <si>
    <t>Base</t>
  </si>
  <si>
    <t>Aggressive</t>
  </si>
  <si>
    <t>ACTIVE</t>
  </si>
  <si>
    <t>PRICING &amp; TAKE RATES</t>
  </si>
  <si>
    <t>Avg. pay-per-view price</t>
  </si>
  <si>
    <t>$ / film</t>
  </si>
  <si>
    <t>YouMake+ subscription price</t>
  </si>
  <si>
    <t>$ / month</t>
  </si>
  <si>
    <t>Creator share of PPV (blended across tiers)</t>
  </si>
  <si>
    <t>% of PPV</t>
  </si>
  <si>
    <t>Creator pool share of subscription revenue</t>
  </si>
  <si>
    <t>% of subs rev</t>
  </si>
  <si>
    <t>Payment processing cost</t>
  </si>
  <si>
    <t>% of gross billings</t>
  </si>
  <si>
    <t>Ad net ARPU at maturity (per registered user)</t>
  </si>
  <si>
    <t>$ / user / yr</t>
  </si>
  <si>
    <t>Featured placement / promo rev per active creator</t>
  </si>
  <si>
    <t>$ / creator / yr</t>
  </si>
  <si>
    <t>Registered users who buy PPV</t>
  </si>
  <si>
    <t>% of registered</t>
  </si>
  <si>
    <t>VIEWER GROWTH &amp; ACQUISITION</t>
  </si>
  <si>
    <t>Blended paid CAC per gross subscriber add (Year 1)</t>
  </si>
  <si>
    <t>$</t>
  </si>
  <si>
    <t>Annual CAC improvement factor</t>
  </si>
  <si>
    <t>x / yr</t>
  </si>
  <si>
    <t>Viewing hours per subscriber</t>
  </si>
  <si>
    <t>hrs / month</t>
  </si>
  <si>
    <t>Streaming + delivery cost</t>
  </si>
  <si>
    <t>$ / hour</t>
  </si>
  <si>
    <t>CREATOR SUPPLY</t>
  </si>
  <si>
    <t>Creator activation (signs up AND publishes)</t>
  </si>
  <si>
    <t>% of signups</t>
  </si>
  <si>
    <t>Films published per active creator per year</t>
  </si>
  <si>
    <t>films / yr</t>
  </si>
  <si>
    <t>Creator acquisition cost</t>
  </si>
  <si>
    <t>$ / signup</t>
  </si>
  <si>
    <t>Moderation + review cost per film</t>
  </si>
  <si>
    <t>Storage + transcode per film in catalog</t>
  </si>
  <si>
    <t>$ / film / yr</t>
  </si>
  <si>
    <t>TEAM &amp; OVERHEAD</t>
  </si>
  <si>
    <t>Avg. fully-loaded cost per employee</t>
  </si>
  <si>
    <t>$K / yr</t>
  </si>
  <si>
    <t>Legal, compliance &amp; content policy (Year 1)</t>
  </si>
  <si>
    <t>Customer support cost</t>
  </si>
  <si>
    <t>% of net rev (min $60K)</t>
  </si>
  <si>
    <t>G&amp;A, tools, insurance, office</t>
  </si>
  <si>
    <t>% of payroll</t>
  </si>
  <si>
    <t>Funding raised at start of Year 1</t>
  </si>
  <si>
    <t>$K</t>
  </si>
  <si>
    <t>PER-YEAR DRIVERS (each row = one year)</t>
  </si>
  <si>
    <t>Registered viewers, end of year — Year 1</t>
  </si>
  <si>
    <t>000s</t>
  </si>
  <si>
    <t>Registered viewers, end of year — Year 2</t>
  </si>
  <si>
    <t>Registered viewers, end of year — Year 3</t>
  </si>
  <si>
    <t>Registered viewers, end of year — Year 4</t>
  </si>
  <si>
    <t>Registered viewers, end of year — Year 5</t>
  </si>
  <si>
    <t>Gross subscriber additions — Year 1</t>
  </si>
  <si>
    <t>000s / yr</t>
  </si>
  <si>
    <t>Gross subscriber additions — Year 2</t>
  </si>
  <si>
    <t>Gross subscriber additions — Year 3</t>
  </si>
  <si>
    <t>Gross subscriber additions — Year 4</t>
  </si>
  <si>
    <t>Gross subscriber additions — Year 5</t>
  </si>
  <si>
    <t>Subscriber churn (monthly) — Year 1</t>
  </si>
  <si>
    <t>% / month</t>
  </si>
  <si>
    <t>Subscriber churn (monthly) — Year 2</t>
  </si>
  <si>
    <t>Subscriber churn (monthly) — Year 3</t>
  </si>
  <si>
    <t>Subscriber churn (monthly) — Year 4</t>
  </si>
  <si>
    <t>Subscriber churn (monthly) — Year 5</t>
  </si>
  <si>
    <t>PPV purchases per buyer per year — Year 1</t>
  </si>
  <si>
    <t>txns / yr</t>
  </si>
  <si>
    <t>PPV purchases per buyer per year — Year 2</t>
  </si>
  <si>
    <t>PPV purchases per buyer per year — Year 3</t>
  </si>
  <si>
    <t>PPV purchases per buyer per year — Year 4</t>
  </si>
  <si>
    <t>PPV purchases per buyer per year — Year 5</t>
  </si>
  <si>
    <t>Share of subscriber adds from paid channels — Year 1</t>
  </si>
  <si>
    <t>%</t>
  </si>
  <si>
    <t>Share of subscriber adds from paid channels — Year 2</t>
  </si>
  <si>
    <t>Share of subscriber adds from paid channels — Year 3</t>
  </si>
  <si>
    <t>Share of subscriber adds from paid channels — Year 4</t>
  </si>
  <si>
    <t>Share of subscriber adds from paid channels — Year 5</t>
  </si>
  <si>
    <t>New creator signups — Year 1</t>
  </si>
  <si>
    <t>creators / yr</t>
  </si>
  <si>
    <t>New creator signups — Year 2</t>
  </si>
  <si>
    <t>New creator signups — Year 3</t>
  </si>
  <si>
    <t>New creator signups — Year 4</t>
  </si>
  <si>
    <t>New creator signups — Year 5</t>
  </si>
  <si>
    <t>Headcount (avg. for year) — Year 1</t>
  </si>
  <si>
    <t>FTEs</t>
  </si>
  <si>
    <t>Headcount (avg. for year) — Year 2</t>
  </si>
  <si>
    <t>Headcount (avg. for year) — Year 3</t>
  </si>
  <si>
    <t>Headcount (avg. for year) — Year 4</t>
  </si>
  <si>
    <t>Headcount (avg. for year) — Year 5</t>
  </si>
  <si>
    <t>Brand, content &amp; community marketing — Year 1</t>
  </si>
  <si>
    <t>Brand, content &amp; community marketing — Year 2</t>
  </si>
  <si>
    <t>Brand, content &amp; community marketing — Year 3</t>
  </si>
  <si>
    <t>Brand, content &amp; community marketing — Year 4</t>
  </si>
  <si>
    <t>Brand, content &amp; community marketing — Year 5</t>
  </si>
  <si>
    <t>YouMakeTV — 5-Year Operating Model</t>
  </si>
  <si>
    <t>Year 1</t>
  </si>
  <si>
    <t>Year 2</t>
  </si>
  <si>
    <t>Year 3</t>
  </si>
  <si>
    <t>Year 4</t>
  </si>
  <si>
    <t>Year 5</t>
  </si>
  <si>
    <t>SUPPLY — CREATORS &amp; CATALOG</t>
  </si>
  <si>
    <t>New creator signups</t>
  </si>
  <si>
    <t>Active creators (cumulative × activation)</t>
  </si>
  <si>
    <t>New films published</t>
  </si>
  <si>
    <t>Catalog size (cumulative films)</t>
  </si>
  <si>
    <t>DEMAND — VIEWERS &amp; SUBSCRIBERS</t>
  </si>
  <si>
    <t>Registered viewers (end of year)</t>
  </si>
  <si>
    <t>Gross subscriber additions</t>
  </si>
  <si>
    <t>Monthly churn</t>
  </si>
  <si>
    <t>Subscribers — end of year</t>
  </si>
  <si>
    <t>Subscribers — average</t>
  </si>
  <si>
    <t>REVENUE — GROSS BILLINGS</t>
  </si>
  <si>
    <t>Subscription billings</t>
  </si>
  <si>
    <t>PPV transactions</t>
  </si>
  <si>
    <t>PPV billings</t>
  </si>
  <si>
    <t>Ad monetization ramp (input)</t>
  </si>
  <si>
    <t>Advertising revenue (net)</t>
  </si>
  <si>
    <t>Featured placement &amp; creator promo</t>
  </si>
  <si>
    <t>TOTAL GROSS BILLINGS</t>
  </si>
  <si>
    <t>CREATOR PAYOUTS</t>
  </si>
  <si>
    <t>PPV payouts to creators</t>
  </si>
  <si>
    <t>Subscription pool payouts</t>
  </si>
  <si>
    <t>Total creator payouts</t>
  </si>
  <si>
    <t>NET REVENUE (platform take)</t>
  </si>
  <si>
    <t>Net revenue growth (YoY)</t>
  </si>
  <si>
    <t>COST OF REVENUE</t>
  </si>
  <si>
    <t>Payment processing</t>
  </si>
  <si>
    <t>Streaming, CDN &amp; delivery</t>
  </si>
  <si>
    <t>Storage &amp; transcoding</t>
  </si>
  <si>
    <t>Moderation, review &amp; content QA</t>
  </si>
  <si>
    <t>Total cost of revenue</t>
  </si>
  <si>
    <t>GROSS PROFIT</t>
  </si>
  <si>
    <t>Gross margin (% of net revenue)</t>
  </si>
  <si>
    <t>OPERATING EXPENSES</t>
  </si>
  <si>
    <t>Headcount (avg. FTEs)</t>
  </si>
  <si>
    <t>Payroll &amp; benefits</t>
  </si>
  <si>
    <t>Creator acquisition</t>
  </si>
  <si>
    <t>Viewer acquisition (paid)</t>
  </si>
  <si>
    <t>Brand, content &amp; community</t>
  </si>
  <si>
    <t>Total marketing</t>
  </si>
  <si>
    <t>Legal, compliance &amp; content policy</t>
  </si>
  <si>
    <t>Customer support &amp; community ops</t>
  </si>
  <si>
    <t>G&amp;A, tools, insurance</t>
  </si>
  <si>
    <t>TOTAL OPEX</t>
  </si>
  <si>
    <t>PROFITABILITY</t>
  </si>
  <si>
    <t>EBITDA</t>
  </si>
  <si>
    <t>EBITDA margin (% of net revenue)</t>
  </si>
  <si>
    <t>CASH &amp; RUNWAY</t>
  </si>
  <si>
    <t>Beginning cash</t>
  </si>
  <si>
    <t>New funding (input — edit for your raise plan)</t>
  </si>
  <si>
    <t>Ending cash</t>
  </si>
  <si>
    <t>Runway at year-end burn (months)</t>
  </si>
  <si>
    <t>KEY METRICS</t>
  </si>
  <si>
    <t>Exit MRR (subscriptions)</t>
  </si>
  <si>
    <t>Exit ARR (subscriptions)</t>
  </si>
  <si>
    <t>Net revenue per active creator</t>
  </si>
  <si>
    <t>Market Analysis — TAM / SAM / SOM</t>
  </si>
  <si>
    <t>Market</t>
  </si>
  <si>
    <t>2026 size (est.)</t>
  </si>
  <si>
    <t>2030–32 size (est.)</t>
  </si>
  <si>
    <t>CAGR (est.)</t>
  </si>
  <si>
    <t>Source / basis</t>
  </si>
  <si>
    <t>AI video generation tools</t>
  </si>
  <si>
    <t>$3.2B</t>
  </si>
  <si>
    <t>$14–16B (2030)</t>
  </si>
  <si>
    <t>28–35%</t>
  </si>
  <si>
    <t>Grand View Research / MarketsandMarkets AI video generator reports (2024–25); Sora/Veo/Runway commercial launches accelerated 2025–26</t>
  </si>
  <si>
    <t>Global video streaming (OTT)</t>
  </si>
  <si>
    <t>$720B</t>
  </si>
  <si>
    <t>$1.9T (2030)</t>
  </si>
  <si>
    <t>~19–21%</t>
  </si>
  <si>
    <t>Grand View Research video streaming market report; includes SVOD, AVOD, FAST</t>
  </si>
  <si>
    <t>Creator economy</t>
  </si>
  <si>
    <t>$250–300B</t>
  </si>
  <si>
    <t>$480–600B (2030)</t>
  </si>
  <si>
    <t>~12–15%</t>
  </si>
  <si>
    <t>Goldman Sachs creator economy research (2023, updated trajectories); SignalFire / Linktree creator reports</t>
  </si>
  <si>
    <t>Independent film production &amp; distribution</t>
  </si>
  <si>
    <t>$15–20B</t>
  </si>
  <si>
    <t>$25–30B (2030)</t>
  </si>
  <si>
    <t>~6–8%</t>
  </si>
  <si>
    <t>IBISWorld / Statista independent film segment; theatrical + digital self-distribution</t>
  </si>
  <si>
    <t>AI-generated entertainment content (nascent)</t>
  </si>
  <si>
    <t>$1–2B</t>
  </si>
  <si>
    <t>$10–25B (2030)</t>
  </si>
  <si>
    <t>&gt;50% (from small base)</t>
  </si>
  <si>
    <t>Bottom-up: AI tool subscription base × content output × monetization rates; no established analyst category yet — early-stage estimate</t>
  </si>
  <si>
    <t>YOUMAKETV TAM / SAM / SOM BUILD (bottom-up)</t>
  </si>
  <si>
    <t>TAM — Total Addressable Market</t>
  </si>
  <si>
    <t>$45B</t>
  </si>
  <si>
    <t>Global premium on-demand video spend addressable by independent/AI content: ~6% of $720B streaming market (indie + niche SVOD + transactional VOD) + creator-monetization tooling.</t>
  </si>
  <si>
    <t>SAM — Serviceable Addressable Market</t>
  </si>
  <si>
    <t>$3.5B</t>
  </si>
  <si>
    <t>Direct monetization of AI-native film/video content (PPV + niche SVOD + creator services) in English-speaking + EU markets over next 5 years.</t>
  </si>
  <si>
    <t>SOM — Serviceable Obtainable Market (Yr 5)</t>
  </si>
  <si>
    <t>$60–110M gross billings</t>
  </si>
  <si>
    <t>Base-to-aggressive Year-5 gross billings from the Model represent ~0.5–3% share of SAM; Base case models ~$21M gross billings — deliberately below SOM ceiling.</t>
  </si>
  <si>
    <t>KEY TRENDS</t>
  </si>
  <si>
    <t>• Cost of producing a watchable short film has collapsed from ~$50K+ to &lt;$500 in tooling/compute (Sora, Veo 3, Runway Gen-4, Kling 2.x) — supply of AI films is exploding.</t>
  </si>
  <si>
    <t>• No incumbent platform treats AI films as a first-class category: YouTube buries them in general content; Netflix/Prime don't accept them; tool vendors (Runway, Pika) monetize creation, not distribution.</t>
  </si>
  <si>
    <t>• Creator economy monetization is shifting from ad-share to direct fan monetization (memberships, PPV) — favorable to a take-rate marketplace.</t>
  </si>
  <si>
    <t>• Regulatory pressure (AI labeling, provenance) favors a curated, compliance-first platform over open uploads.</t>
  </si>
  <si>
    <t>• FAST/AVOD growth shows audiences accept new low-cost content brands when discovery is good.</t>
  </si>
  <si>
    <t>Competitive Landscape</t>
  </si>
  <si>
    <t>Player</t>
  </si>
  <si>
    <t>Type</t>
  </si>
  <si>
    <t>Strengths</t>
  </si>
  <si>
    <t>Weaknesses</t>
  </si>
  <si>
    <t>Opportunity for YouMakeTV</t>
  </si>
  <si>
    <t>YouTube</t>
  </si>
  <si>
    <t>UGC / ads</t>
  </si>
  <si>
    <t>Massive reach (2.5B+ MAU); free; best-in-class discovery &amp; infra; Shorts funnel</t>
  </si>
  <si>
    <t>AI films buried among all content; ad-share economics weak for long-form niche ($1–3 RPM); no PPV-first model; algorithm punishes low-sub channels</t>
  </si>
  <si>
    <t>Position as the premium, curated home where AI filmmakers actually earn per view, not per ad impression. Use YouTube as a trailer/funnel channel, not a competitor for the catalog.</t>
  </si>
  <si>
    <t>Vimeo OTT</t>
  </si>
  <si>
    <t>White-label VOD</t>
  </si>
  <si>
    <t>Mature paywall tech; creator keeps ~90%; strong player/infra</t>
  </si>
  <si>
    <t>No audience — creators bring 100% of traffic; declining consumer brand; expensive for small creators</t>
  </si>
  <si>
    <t>YouMakeTV provides the audience + marketplace discovery Vimeo never built. Target Vimeo OTT churners.</t>
  </si>
  <si>
    <t>Patreon</t>
  </si>
  <si>
    <t>Membership</t>
  </si>
  <si>
    <t>8M+ paying members; recurring revenue mechanics; creator loyalty</t>
  </si>
  <si>
    <t>Not a viewing destination; no discovery; video experience poor; membership ≠ per-title sales</t>
  </si>
  <si>
    <t>Integrate membership-style follows with actual streaming. Patreon creators with film projects are a prime acquisition list.</t>
  </si>
  <si>
    <t>Kickstarter</t>
  </si>
  <si>
    <t>Crowdfunding</t>
  </si>
  <si>
    <t>Proven film-funding behavior; project discovery</t>
  </si>
  <si>
    <t>One-shot funding, no distribution or recurring monetization</t>
  </si>
  <si>
    <t>Partner/funnel: films funded on Kickstarter need a distribution home; AI films rarely fit its norms.</t>
  </si>
  <si>
    <t>Netflix</t>
  </si>
  <si>
    <t>Premium SVOD</t>
  </si>
  <si>
    <t>Brand, $17B+ content budget, global subs (300M+)</t>
  </si>
  <si>
    <t>Closed; does not accept indie/AI submissions; experimenting with AI internally but not as a marketplace</t>
  </si>
  <si>
    <t>Be the open marketplace Netflix structurally cannot be. Long-term: license breakout AI titles upward.</t>
  </si>
  <si>
    <t>Prime Video Direct</t>
  </si>
  <si>
    <t>Open VOD</t>
  </si>
  <si>
    <t>Huge audience; self-serve uploads</t>
  </si>
  <si>
    <t>Has been cutting royalty rates &amp; rejecting low-engagement content; AI content explicitly restricted/limited; opaque payouts</t>
  </si>
  <si>
    <t>Creators rejected or demonetized by PVD are actively seeking alternatives — a real, motivated segment.</t>
  </si>
  <si>
    <t>TikTok</t>
  </si>
  <si>
    <t>Short video</t>
  </si>
  <si>
    <t>Distribution engine; AI content thrives; huge Gen-Z reach</t>
  </si>
  <si>
    <t>No long-form monetization; no PPV; creator fund economics weak; ban/regulatory risk in US</t>
  </si>
  <si>
    <t>Use as top-of-funnel (trailers, clips). Not a destination for films.</t>
  </si>
  <si>
    <t>Reelmind / AI video communities</t>
  </si>
  <si>
    <t>AI-native UGC</t>
  </si>
  <si>
    <t>AI-native positioning; early communities</t>
  </si>
  <si>
    <t>Tool-first, monetization shallow; tiny audiences; no curation/QC</t>
  </si>
  <si>
    <t>Out-execute on curation, payouts, and viewer experience; acquire their frustrated creators.</t>
  </si>
  <si>
    <t>Runway / Pika / Luma / Kling</t>
  </si>
  <si>
    <t>Creation tools</t>
  </si>
  <si>
    <t>Own the creator relationship; strong brands in AI video; festivals (Runway AIFF)</t>
  </si>
  <si>
    <t>They monetize creation (subscriptions/credits), not distribution; no consumer viewing destination; conflicted about ranking one user's film over another's</t>
  </si>
  <si>
    <t>Natural partners, not competitors: "made with Runway → distributed on YouMakeTV." Co-marketing, festival pipelines, export integrations.</t>
  </si>
  <si>
    <t>OpenAI Sora ecosystem</t>
  </si>
  <si>
    <t>Creation tool + feed</t>
  </si>
  <si>
    <t>State-of-the-art generation; Sora app has a social feed; massive attention</t>
  </si>
  <si>
    <t>Feed is social/remix-oriented, not film-length; no creator payouts at scale yet; OpenAI ambitions uncertain — could become a competitor</t>
  </si>
  <si>
    <t>Move fast to own "AI films as premium content" before a tool vendor verticalizes. Biggest strategic risk AND biggest validation.</t>
  </si>
  <si>
    <t>Emerging AI film platforms (e.g., AI film festivals, niche curators)</t>
  </si>
  <si>
    <t>Curation</t>
  </si>
  <si>
    <t>Community credibility; early-mover taste-making</t>
  </si>
  <si>
    <t>No tech moat, no payments/streaming infra, mostly events not platforms</t>
  </si>
  <si>
    <t>Acquire or partner for curation brand + creator lists; YouMakeTV supplies the rails.</t>
  </si>
  <si>
    <t>POSITIONING MATRIX (✔ = strong, ~ = partial, ✘ = none)</t>
  </si>
  <si>
    <t>Capability</t>
  </si>
  <si>
    <t>Tool vendors</t>
  </si>
  <si>
    <t>YouMakeTV</t>
  </si>
  <si>
    <t>AI-native curated catalog</t>
  </si>
  <si>
    <t>✘</t>
  </si>
  <si>
    <t>~</t>
  </si>
  <si>
    <t>✔</t>
  </si>
  <si>
    <t>Per-title (PPV) monetization</t>
  </si>
  <si>
    <t>~ (rentals, limited)</t>
  </si>
  <si>
    <t>Subscription bundle for viewers</t>
  </si>
  <si>
    <t>~ (Premium, not AI)</t>
  </si>
  <si>
    <t>Creator revenue share that scales with success</t>
  </si>
  <si>
    <t>✘ (flat 55%)</t>
  </si>
  <si>
    <t>✔ (but no audience)</t>
  </si>
  <si>
    <t>✔ (30→40% tiers)</t>
  </si>
  <si>
    <t>Built-in audience / discovery</t>
  </si>
  <si>
    <t>~ (tool users)</t>
  </si>
  <si>
    <t>Building — the core execution risk</t>
  </si>
  <si>
    <t>Human review / quality gate</t>
  </si>
  <si>
    <t>Creator Acquisition — Channel Plan (Year 1)</t>
  </si>
  <si>
    <t>Yellow = editable. Signups &amp; CAC are formulas.</t>
  </si>
  <si>
    <t>Channel</t>
  </si>
  <si>
    <t>Est. addressable reach</t>
  </si>
  <si>
    <t>Engaged / mo</t>
  </si>
  <si>
    <t>Click/visit rate</t>
  </si>
  <si>
    <t>Visit→signup</t>
  </si>
  <si>
    <t>Annual cost ($)</t>
  </si>
  <si>
    <t>Expected signups</t>
  </si>
  <si>
    <t>CAC ($)</t>
  </si>
  <si>
    <t>Notes / tactics</t>
  </si>
  <si>
    <t>Runway community &amp; AIFF film festival</t>
  </si>
  <si>
    <t>Festival sponsorship, Discord presence, "distribute your AIFF entry" campaign</t>
  </si>
  <si>
    <t>OpenAI Sora creators (feed + Discord/X)</t>
  </si>
  <si>
    <t>X engagement, showcase reposts, "Sora-to-screen" onboarding guides</t>
  </si>
  <si>
    <t>Pika / Luma / Kling user communities</t>
  </si>
  <si>
    <t>Discord partnerships, creator challenges with cash prizes</t>
  </si>
  <si>
    <t>Midjourney cinematic community</t>
  </si>
  <si>
    <t>Targets storyboard/cinematic prompt artists moving into video</t>
  </si>
  <si>
    <t>ComfyUI / Stable Diffusion / Flux (open-source)</t>
  </si>
  <si>
    <t>GitHub/Reddit presence; workflow-to-film tutorials; highest technical skill density</t>
  </si>
  <si>
    <t>Reddit (r/aivideo, r/StableDiffusion, r/Filmmakers…)</t>
  </si>
  <si>
    <t>Organic posts + modest promoted posts; AMA with founding creators</t>
  </si>
  <si>
    <t>Discord servers (AI art/video, 50+ servers)</t>
  </si>
  <si>
    <t>Server partnerships, screening-night events, bot integrations</t>
  </si>
  <si>
    <t>X (AI film Twitter)</t>
  </si>
  <si>
    <t>Founder-led content, creator spotlights, revenue-share receipts ("first $1K paid out")</t>
  </si>
  <si>
    <t>Facebook groups &amp; LinkedIn (AI video pros)</t>
  </si>
  <si>
    <t>Groups for AI filmmakers; LinkedIn for studio/agency creators</t>
  </si>
  <si>
    <t>Indie filmmaker communities (film schools, NoFilmSchool…)</t>
  </si>
  <si>
    <t>Hybrid filmmakers adopting AI tools; festival-circuit outreach</t>
  </si>
  <si>
    <t>AI creator influencers (10–15 sponsorships)</t>
  </si>
  <si>
    <t>$1.5–3K per sponsored video/thread; mid-tier (50–300K followers) AI-tool educators</t>
  </si>
  <si>
    <t>TOTAL YEAR 1</t>
  </si>
  <si>
    <t>FUNNEL ASSUMPTIONS &amp; ACTIVATION</t>
  </si>
  <si>
    <t>• Activation (signup → publishes ≥1 approved film): 45–65% — driven by white-glove onboarding for first 200 creators.</t>
  </si>
  <si>
    <t>• These channel totals intentionally exceed the Model's Base-case 500 Year-1 signups (~2x buffer) — channels underperform, plans shouldn't.</t>
  </si>
  <si>
    <t>• First 50 creators: founder-led direct recruitment (hand-picked from festival winners &amp; viral AI shorts). CAC ≈ $0 cash, high founder time.</t>
  </si>
  <si>
    <t>• Creator referral program from Month 6: $50 bonus per activated referral — expected to become the cheapest channel by Year 2.</t>
  </si>
  <si>
    <t>• Influencer ROI check: $36K → ~1,080 signups → ~$33 CAC; vs. blended target $40. Kill any channel &gt;$80 CAC after 2 quarters.</t>
  </si>
  <si>
    <t>Viewer Acquisition — Channel Plan (Year 1 → Year 2)</t>
  </si>
  <si>
    <t>Y1 budget ($)</t>
  </si>
  <si>
    <t>CPM ($)</t>
  </si>
  <si>
    <t>CTR</t>
  </si>
  <si>
    <t>Signup→paid</t>
  </si>
  <si>
    <t>Paying users</t>
  </si>
  <si>
    <t>Notes</t>
  </si>
  <si>
    <t>Paid search (Google)</t>
  </si>
  <si>
    <t>High-intent: "watch AI films", "AI movies". Modeled directly: ~$2.5 CPC, 12% signup, 18% paid → ~1,000 payers, CAC ≈ $58. Small market today, grows with category.</t>
  </si>
  <si>
    <t>Meta / Instagram Reels ads</t>
  </si>
  <si>
    <t>Trailer-led creative; retarget video viewers</t>
  </si>
  <si>
    <t>TikTok ads</t>
  </si>
  <si>
    <t>Clips + creator duets; younger demo, lower intent</t>
  </si>
  <si>
    <t>YouTube ads (trailer pre-roll)</t>
  </si>
  <si>
    <t>In-feed trailer promotion to film/AI-interest audiences</t>
  </si>
  <si>
    <t>Display / programmatic</t>
  </si>
  <si>
    <t>Cheap reach, weak intent — capped test budget</t>
  </si>
  <si>
    <t>Retargeting (all platforms)</t>
  </si>
  <si>
    <t>Highest-converting paid channel; needs pixel base first</t>
  </si>
  <si>
    <t>SEO &amp; content hub</t>
  </si>
  <si>
    <t>"Best AI films 2026", creator pages, film pages. 6–12 mo lag; compounding. Est. 120K organic visits Y1 → ~1,400 payers.</t>
  </si>
  <si>
    <t>Owned YouTube + Shorts</t>
  </si>
  <si>
    <t>Trailer channel + weekly "best of AI film" shows; 2 editors part-time. Est. 2M views Y1 → ~1,600 payers.</t>
  </si>
  <si>
    <t>Owned TikTok / Reels</t>
  </si>
  <si>
    <t>Clip factory from catalog (with creator consent); viral upside not modeled.</t>
  </si>
  <si>
    <t>Influencers (film/AI reviewers)</t>
  </si>
  <si>
    <t>8–12 sponsorships; "I watched 20 AI films" format. CPM-equivalent ~$15, but conversion 2–3x paid ads.</t>
  </si>
  <si>
    <t>Affiliates (creators as affiliates)</t>
  </si>
  <si>
    <t>20% of first-year revenue to referring creator — creators bring their own audience; the structural answer to cold start.</t>
  </si>
  <si>
    <t>PR &amp; festivals</t>
  </si>
  <si>
    <t>Launch story ("the Netflix of AI film"), festival partnerships, awards show. Drives brand search baseline.</t>
  </si>
  <si>
    <t>TOTAL</t>
  </si>
  <si>
    <t>NOTES</t>
  </si>
  <si>
    <t>• This plan front-loads the full Year-1 + part of Year-2 marketing budget vs. the Model (Model Year 1 marketing ≈ $164K Base). Spend gates open only after activation metrics (D7 retention &gt;25%, trailer→watch &gt;15%) are hit — do not buy traffic into a leaky funnel.</t>
  </si>
  <si>
    <t>• "Paying users" mixes subscribers and PPV buyers; blended target CAC ≤ $40, subscriber-only CAC ≤ $25 by Year 2.</t>
  </si>
  <si>
    <t>• Retargeting and affiliates are the two channels expected to beat $20 CAC at scale; both require an existing traffic/creator base — hence paid social leads in H1.</t>
  </si>
  <si>
    <t>• CPM/CTR/conversion cells are editable; benchmarks from 2025 Meta/TikTok/YouTube performance norms for entertainment apps.</t>
  </si>
  <si>
    <t>Marketplace Cold-Start Plan — Solving "Creators need viewers, viewers need content"</t>
  </si>
  <si>
    <t>PHASE 1 — Seed supply (Months 0–6)</t>
  </si>
  <si>
    <t>PHASE 2 — Prove demand (Months 6–18)</t>
  </si>
  <si>
    <t>PHASE 3 — Network effects (Months 18–36)</t>
  </si>
  <si>
    <t>Core principle</t>
  </si>
  <si>
    <t>Supply first. A film catalog is inventory that doesn't churn — viewers do. Curate 150–300 genuinely good films before spending $1 on viewer ads.</t>
  </si>
  <si>
    <t>Concentrate demand. Drive all traffic to a small, high-quality catalog so every film gets views and every creator gets paid something.</t>
  </si>
  <si>
    <t>Let creators bring viewers and viewers attract creators. Referral loops, payout screenshots, and franchise/series content compound.</t>
  </si>
  <si>
    <t>Creator targets</t>
  </si>
  <si>
    <t>50 hand-picked founding creators (festival winners, viral AI shorts); 150–300 films live; guaranteed placement + 0% take on first $500 each ("Founding Creator" deal).</t>
  </si>
  <si>
    <t>300–500 active creators; 1,000–1,800 films; first creators crossing Growth tier (1,000 paid views) — publicize every milestone.</t>
  </si>
  <si>
    <t>1,500–3,000 active creators; 5,000–12,000 films; top creators earning $2–5K/mo; Pro-tier creators become platform evangelists.</t>
  </si>
  <si>
    <t>Viewer targets</t>
  </si>
  <si>
    <t>3–5K registered (waitlist + creators' own audiences). Goal is engagement data, not scale: D7 retention &gt;25%, &gt;15% trailer→film conversion.</t>
  </si>
  <si>
    <t>30–120K registered; 1.5–8K subscribers; prove CAC ≤ $35 and M3 subscriber retention &gt;55% before scaling spend.</t>
  </si>
  <si>
    <t>300K–1M registered; 30K+ subscribers; organic/referral share of signups &gt;40%.</t>
  </si>
  <si>
    <t>Liquidity mechanics</t>
  </si>
  <si>
    <t>Every approved film guaranteed ≥500 impressions in-app; weekly themed premieres create appointment viewing despite a small catalog.</t>
  </si>
  <si>
    <t>Editorial front page (human-curated rows); "new this week" velocity; affiliate links so creators earn 20% of referred first-year revenue.</t>
  </si>
  <si>
    <t>Personalized discovery; genre verticals (AI horror, sci-fi shorts, animation); seasons/series retain viewers between releases.</t>
  </si>
  <si>
    <t>Chicken-and-egg answer</t>
  </si>
  <si>
    <t>Creators don't need viewers yet — they need DISTRIBUTION + LEGITIMACY. A curated platform that says "your film is good" plus guaranteed placement is enough to seed supply at near-zero cost.</t>
  </si>
  <si>
    <t>Viewers don't need a huge catalog — they need 20 great hours in their genre. 300 curated films ≈ a niche streamer's launch catalog (Shudder launched with &lt;200 titles).</t>
  </si>
  <si>
    <t>At ~1,000 films / 30K subscribers the flywheel turns: payouts attract creators organically (CAC→$0), catalog breadth lifts retention, retention lifts LTV, LTV funds growth.</t>
  </si>
  <si>
    <t>Kill / pivot signals</t>
  </si>
  <si>
    <t>If &lt;40% of invited creators publish, the value prop is wrong — fix payouts/onboarding before scaling.</t>
  </si>
  <si>
    <t>If subscriber M3 retention &lt;40% despite curation, the standalone-destination thesis fails → pivot to B2B licensing / white-label.</t>
  </si>
  <si>
    <t>If CAC won't drop below $30 blended, raise prices or shift to AVOD-first model.</t>
  </si>
  <si>
    <t>MINIMUM VIABLE LIQUIDITY — what it takes before network effects start</t>
  </si>
  <si>
    <t>Dimension</t>
  </si>
  <si>
    <t>Threshold</t>
  </si>
  <si>
    <t>Rationale</t>
  </si>
  <si>
    <t>Films</t>
  </si>
  <si>
    <t>≈ 1,000 quality titles</t>
  </si>
  <si>
    <t>Comparable niche streamers (Shudder, Dropout) demonstrate retention with 200–600 titles; 1,000 gives genre depth.</t>
  </si>
  <si>
    <t>Active creators</t>
  </si>
  <si>
    <t>≈ 400–600</t>
  </si>
  <si>
    <t>At 3.5 films/creator/yr this sustains ~30 new releases/week — enough "newness" for weekly visits.</t>
  </si>
  <si>
    <t>Subscribers</t>
  </si>
  <si>
    <t>≈ 25–30K</t>
  </si>
  <si>
    <t>At $7.99/mo this is ~$2.4–2.9M ARR — funds meaningful creator pool payouts ($1M+/yr), which makes the platform self-evidently worth creators' time.</t>
  </si>
  <si>
    <t>Timeline</t>
  </si>
  <si>
    <t>Months 24–30 (Base case)</t>
  </si>
  <si>
    <t>Matches Model: Year-3 exit ≈ 30K subscribers, ~2,500 active creators, ~13K films.</t>
  </si>
  <si>
    <t>Unit Economics — CAC / LTV / Payback</t>
  </si>
  <si>
    <t>Worst</t>
  </si>
  <si>
    <t>Best</t>
  </si>
  <si>
    <t>Method</t>
  </si>
  <si>
    <t>SUBSCRIBERS (YouMake+)</t>
  </si>
  <si>
    <t>Net ARPU ($/mo, after creator pool share)</t>
  </si>
  <si>
    <t>Subscription price × platform share of sub revenue (50–60%)</t>
  </si>
  <si>
    <t>Contribution margin on net ARPU</t>
  </si>
  <si>
    <t>After processing, streaming, storage, support allocations</t>
  </si>
  <si>
    <t>Niche SVOD benchmark 5–10%/mo; improves with catalog depth</t>
  </si>
  <si>
    <t>CAC (blended)</t>
  </si>
  <si>
    <t>From GTM-Viewers; best case = high organic/referral mix</t>
  </si>
  <si>
    <t>LTV</t>
  </si>
  <si>
    <t>LTV = net ARPU × margin ÷ churn</t>
  </si>
  <si>
    <t>LTV : CAC</t>
  </si>
  <si>
    <t>Target ≥ 3.0x at scale</t>
  </si>
  <si>
    <t>Payback (months)</t>
  </si>
  <si>
    <t>CAC ÷ monthly contribution</t>
  </si>
  <si>
    <t>PAY-PER-VIEW BUYERS</t>
  </si>
  <si>
    <t>Net revenue per transaction</t>
  </si>
  <si>
    <t>Price × platform share (60–67%) × contribution margin</t>
  </si>
  <si>
    <t>Lifetime transactions per buyer</t>
  </si>
  <si>
    <t>Repeat purchase behavior over ~24 months</t>
  </si>
  <si>
    <t>CAC (must be near-organic)</t>
  </si>
  <si>
    <t>PPV cannot support paid CAC — acquired via SEO, creator affiliates, cross-sell</t>
  </si>
  <si>
    <t>PPV works only as an organic monetization layer + sub-conversion funnel</t>
  </si>
  <si>
    <t>CREATORS (as supply-side "customers")</t>
  </si>
  <si>
    <t>CAC per activated creator</t>
  </si>
  <si>
    <t>Signup CAC ÷ activation rate (60/0.45, 40/0.55, 30/0.65)</t>
  </si>
  <si>
    <t>Films per creator over 24 months</t>
  </si>
  <si>
    <t>Platform net revenue per creator per year</t>
  </si>
  <si>
    <t>Base ≈ Model Year-3 net revenue per active creator (~$640 by Y3, lower in Y1–2; $250 is a 24-mo blend)</t>
  </si>
  <si>
    <t>24-month creator LTV (net revenue)</t>
  </si>
  <si>
    <t>Healthy even in worst case — supply acquisition is cheap relative to its revenue yield</t>
  </si>
  <si>
    <t>READ-THROUGH</t>
  </si>
  <si>
    <t>• Subscriber economics clear the 3x LTV:CAC bar in Base case (≈3.2x) with ~7-month payback — fundable, not exceptional. The lever is churn: every point of monthly churn ≈ ±$11 LTV.</t>
  </si>
  <si>
    <t>• PPV is margin-rich but cannot absorb paid acquisition. Treat PPV as (1) monetization of organic traffic and (2) a stepping stone to subscription.</t>
  </si>
  <si>
    <t>• Creator-side LTV:CAC of ~7x in Base case is the quiet strength of the model: supply compounds (films stay in catalog) while demand churns.</t>
  </si>
  <si>
    <t>• Worst-case subscriber economics (1.1x LTV:CAC) are NOT viable — the model depends on pushing churn below ~7%/mo within 18 months. This is the #1 metric to underwrite.</t>
  </si>
  <si>
    <t>Hiring Plan — Years 1–3 (Base case)</t>
  </si>
  <si>
    <t>Role</t>
  </si>
  <si>
    <t>Salary (fully loaded)</t>
  </si>
  <si>
    <t>Start</t>
  </si>
  <si>
    <t>Y1 FTE</t>
  </si>
  <si>
    <t>Y2 FTE</t>
  </si>
  <si>
    <t>Y3 FTE</t>
  </si>
  <si>
    <t>CEO (founder)</t>
  </si>
  <si>
    <t>Day 1</t>
  </si>
  <si>
    <t>Below-market founder salary until Series A</t>
  </si>
  <si>
    <t>CTO (founder or founding eng.)</t>
  </si>
  <si>
    <t>Owns platform, infra, AI moderation pipeline</t>
  </si>
  <si>
    <t>Full-stack engineers</t>
  </si>
  <si>
    <t>M1 / M9</t>
  </si>
  <si>
    <t>Player, payments, dashboards, recommendation v1</t>
  </si>
  <si>
    <t>ML / moderation engineer</t>
  </si>
  <si>
    <t>M12</t>
  </si>
  <si>
    <t>Provenance detection, content QA automation, recsys</t>
  </si>
  <si>
    <t>Product designer</t>
  </si>
  <si>
    <t>M6</t>
  </si>
  <si>
    <t>Contract→FTE; viewer UX is the retention lever</t>
  </si>
  <si>
    <t>Head of Content / Curation</t>
  </si>
  <si>
    <t>M3</t>
  </si>
  <si>
    <t>Ex-festival programmer; owns quality bar &amp; editorial</t>
  </si>
  <si>
    <t>Creator Success managers</t>
  </si>
  <si>
    <t>M4 / M14</t>
  </si>
  <si>
    <t>1 per ~150 active creators; onboarding, payouts, retention</t>
  </si>
  <si>
    <t>Growth / performance marketer</t>
  </si>
  <si>
    <t>M8</t>
  </si>
  <si>
    <t>Owns paid + lifecycle; agency support in Y1</t>
  </si>
  <si>
    <t>Content &amp; social lead</t>
  </si>
  <si>
    <t>M10</t>
  </si>
  <si>
    <t>Trailer channel, clips, newsletter</t>
  </si>
  <si>
    <t>Customer support</t>
  </si>
  <si>
    <t>Outsourced/part-time in Y1; in-house from Y2</t>
  </si>
  <si>
    <t>Finance / ops (fractional → FTE)</t>
  </si>
  <si>
    <t>M6 / M24</t>
  </si>
  <si>
    <t>Fractional CFO until Series A; payouts compliance</t>
  </si>
  <si>
    <t>Trust &amp; safety / moderation ops</t>
  </si>
  <si>
    <t>M9</t>
  </si>
  <si>
    <t>Human review layer on top of AI screening</t>
  </si>
  <si>
    <t>TOTAL HEADCOUNT</t>
  </si>
  <si>
    <t>TOTAL PAYROLL</t>
  </si>
  <si>
    <t>Note: FTE figures are year-averages (0.5 = hired mid-year). Salaries are fully loaded (base + taxes + benefits + equipment), US-remote blend; 30–40% savings available via EU/LatAm engineering hires. Reconciles to Model payroll within ±10% (Model uses a single blended average).</t>
  </si>
  <si>
    <t>Use of Funds — Recommended $4.0M Seed (24-month plan)</t>
  </si>
  <si>
    <t>Round size ($):</t>
  </si>
  <si>
    <t>Category</t>
  </si>
  <si>
    <t>% allocation</t>
  </si>
  <si>
    <t>Amount ($)</t>
  </si>
  <si>
    <t>What it buys</t>
  </si>
  <si>
    <t>Engineering &amp; Product</t>
  </si>
  <si>
    <t>Core team of 4–5 engineers + design: recommendation engine, payout infrastructure, apps (web → TV → mobile), creator analytics dashboard</t>
  </si>
  <si>
    <t>Growth &amp; Marketing</t>
  </si>
  <si>
    <t>Creator + viewer acquisition per GTM sheets; performance budget gated on retention milestones</t>
  </si>
  <si>
    <t>Content &amp; Creator Success</t>
  </si>
  <si>
    <t>Founding-creator incentives, curation team, festival/community programs, creator success managers</t>
  </si>
  <si>
    <t>Trust, Safety &amp; Moderation</t>
  </si>
  <si>
    <t>Human review ops, AI screening tooling, provenance verification, copyright claim handling</t>
  </si>
  <si>
    <t>Infrastructure</t>
  </si>
  <si>
    <t>Streaming/CDN, storage, transcoding capacity ahead of growth</t>
  </si>
  <si>
    <t>Legal &amp; Compliance</t>
  </si>
  <si>
    <t>Content licensing framework, AI-content policy counsel, payout/KYC compliance, entity &amp; IP</t>
  </si>
  <si>
    <t>Operations &amp; Buffer</t>
  </si>
  <si>
    <t>Finance ops, insurance, contingency</t>
  </si>
  <si>
    <t>Valuation Framework</t>
  </si>
  <si>
    <t>Round</t>
  </si>
  <si>
    <t>Timing / milestone</t>
  </si>
  <si>
    <t>Valuation (post-money)</t>
  </si>
  <si>
    <t>Dilution</t>
  </si>
  <si>
    <t>Basis &amp; comparables</t>
  </si>
  <si>
    <t>Pre-seed / angel (if taken)</t>
  </si>
  <si>
    <t>Now: MVP live, pre-traction</t>
  </si>
  <si>
    <t>$5–8M cap (SAFE)</t>
  </si>
  <si>
    <t>10–15%</t>
  </si>
  <si>
    <t>2025–26 US pre-seed medians ~$5–7M cap (Carta); AI-adjacent consumer premium ~20–30%; no traction discount offsets it. Comparable: typical pre-revenue marketplace SAFEs.</t>
  </si>
  <si>
    <t>SEED (recommended now)</t>
  </si>
  <si>
    <t>MVP + first 50–100 founding creators signed</t>
  </si>
  <si>
    <t>$14–18M post ($4M on $10–14M pre)</t>
  </si>
  <si>
    <t>~22–28%</t>
  </si>
  <si>
    <t>Carta 2025 seed medians: ~$15M post for consumer/marketplace; AI-content platforms command upper band. Comps at seed stage: Patreon ($2.1M seed, 2013-era pricing — adjust 3–4x), Nebula (bootstrapped to ~$50M val), early Vimeo OTT.</t>
  </si>
  <si>
    <t>Series A</t>
  </si>
  <si>
    <t>Month 20–28: $1.5–2.5M ARR, 4–5x YoY growth, churn &lt;7%/mo, 1,000+ films</t>
  </si>
  <si>
    <t>$45–70M post ($9–12M raise)</t>
  </si>
  <si>
    <t>~18–22%</t>
  </si>
  <si>
    <t>8–15x forward net-revenue multiple for marketplace + AI premium. Comps: consumer subscription As at $2M ARR ≈ $40–60M (2024–25 vintage); Curiosity Stream IPO'd at ~5x revenue (mature, low growth — YouMakeTV at A should price on growth).</t>
  </si>
  <si>
    <t>Series B (illustrative)</t>
  </si>
  <si>
    <t>Year 4: $8–12M net revenue run-rate</t>
  </si>
  <si>
    <t>$120–200M</t>
  </si>
  <si>
    <t>~15–20%</t>
  </si>
  <si>
    <t>Dependent on take-rate durability and EBITDA trajectory; only if Series A milestones beat plan.</t>
  </si>
  <si>
    <t>ASSUMPTIONS &amp; HONEST CAVEATS</t>
  </si>
  <si>
    <t>• These valuations assume the milestone column is MET. Pre-traction, the company is worth what seed investors will pay for team + thesis + working product: $10–14M pre is the defensible range in mid-2026, not higher.</t>
  </si>
  <si>
    <t>• AI-content platforms currently enjoy a sentiment premium; it may compress. The model's Base case supports a Series A on metrics (not hype) by Month ~24–28.</t>
  </si>
  <si>
    <t>• Anchor on NET revenue multiples. Quoting gross billings multiples will damage credibility with marketplace-literate investors.</t>
  </si>
  <si>
    <t>• Founder dilution through Series A ≈ 40–45% cumulative (incl. ~10% ESOP refresh). Plan accordingly.</t>
  </si>
  <si>
    <t>Risk Register</t>
  </si>
  <si>
    <t>Risk</t>
  </si>
  <si>
    <t>Likelihood</t>
  </si>
  <si>
    <t>Impact</t>
  </si>
  <si>
    <t>Description</t>
  </si>
  <si>
    <t>Mitigation</t>
  </si>
  <si>
    <t>Copyright &amp; IP</t>
  </si>
  <si>
    <t>High</t>
  </si>
  <si>
    <t>AI films may embed copyrighted characters, music, or likenesses; training-data litigation (e.g., studios vs. AI vendors) could create downstream liability for distributors.</t>
  </si>
  <si>
    <t>Pre-publication review (already built); automated music/character fingerprinting; creator warranties + indemnification in ToS; DMCA-compliant takedown; E&amp;O insurance; "provenance required" metadata. Budgeted legal line grows 2.8x by Y5.</t>
  </si>
  <si>
    <t>AI regulation</t>
  </si>
  <si>
    <t>Medium-High</t>
  </si>
  <si>
    <t>Medium</t>
  </si>
  <si>
    <t>EU AI Act transparency rules (in force, content-labeling obligations phasing through 2026–27), US state laws (deepfake/likeness), mandatory AI-content labeling.</t>
  </si>
  <si>
    <t>Labeling AI content is YouMakeTV's default — regulation that burdens general platforms is a tailwind for a compliance-native one. Counsel on retainer; geo-gating capability.</t>
  </si>
  <si>
    <t>Moderation failures</t>
  </si>
  <si>
    <t>Deepfakes of real people, CSAM-adjacent generated content, extremist content — a single scandal could kill distribution partnerships and app-store presence.</t>
  </si>
  <si>
    <t>Human review of 100% of titles pre-publication (feasible to ~30K films/yr); AI screening layer; likeness-verification for real-person depictions; strict creator identity (KYC at payout).</t>
  </si>
  <si>
    <t>Fraud</t>
  </si>
  <si>
    <t>View-count fraud to game revenue tiers; stolen-card PPV purchases; self-dealing (creators buying own content); chargebacks.</t>
  </si>
  <si>
    <t>Paid-view definition requires watch-time + payment settlement; payout holds (30 days); device/IP anomaly detection; KYC; chargeback reserves in payout terms.</t>
  </si>
  <si>
    <t>Content quality / lemon market</t>
  </si>
  <si>
    <t>AI tools produce vastly more mediocre content than good; a flooded catalog destroys viewer trust (the "Spotify AI slop" problem).</t>
  </si>
  <si>
    <t>Curation IS the product: approval gate, editorial front page, quality-weighted discovery, tiered placement. Reject rate expected 60–80% early. This is the core defensibility thesis.</t>
  </si>
  <si>
    <t>Competition (tool vendors verticalize)</t>
  </si>
  <si>
    <t>OpenAI (Sora feed), Runway, or YouTube could launch an AI-film destination with vastly more resources and built-in supply.</t>
  </si>
  <si>
    <t>Speed to liquidity + multi-tool neutrality (creators don't want their distribution owned by one tool vendor); curation brand; creator payout relationships. Partner aggressively with 2nd-tier tools who need a distribution story.</t>
  </si>
  <si>
    <t>Funding risk</t>
  </si>
  <si>
    <t>Consumer/marketplace seed appetite is selective; Series A requires real retention metrics in ~24 months; AI premium may fade.</t>
  </si>
  <si>
    <t>Raise 24 months of runway (not 18); gate spend on retention milestones; maintain B2B licensing pivot option (white-label AI content library) as a revenue backstop.</t>
  </si>
  <si>
    <t>Demand risk (do viewers want AI films?)</t>
  </si>
  <si>
    <t>Very High</t>
  </si>
  <si>
    <t>The unproven core assumption: will consumers pay to watch AI-generated films at scale? Current evidence is anecdotal (viral shorts), not transactional.</t>
  </si>
  <si>
    <t>This is what the seed round exists to answer. Phase-gated spending: no scale marketing until D7 retention &gt;25% and M3 sub retention &gt;55% are proven on a small base. Honest kill criteria defined in Bootstrapping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</si>
</sst>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$#,##0.00"/>
    <numFmt numFmtId="165" formatCode="0.0%"/>
    <numFmt numFmtId="166" formatCode="$#,##0"/>
    <numFmt numFmtId="167" formatCode="$0.000"/>
    <numFmt numFmtId="168" formatCode="#,##0.0"/>
    <numFmt numFmtId="169" formatCode="0.0&quot;x&quot;"/>
    <numFmt numFmtId="170" formatCode="0.0"/>
  </numFmts>
  <fonts count="16" x14ac:knownFonts="1">
    <font>
      <color theme="1"/>
      <family val="2"/>
      <scheme val="minor"/>
      <sz val="11"/>
      <name val="Calibri"/>
    </font>
    <font>
      <b/>
      <color rgb="FF101828"/>
      <sz val="16"/>
    </font>
    <font>
      <b/>
      <color rgb="FF6D28D9"/>
    </font>
    <font>
      <b/>
    </font>
    <font>
      <b/>
      <sz val="14"/>
    </font>
    <font>
      <b/>
      <color rgb="FFFFFFFF"/>
    </font>
    <font>
      <b/>
      <color rgb="FFFFFFFF"/>
      <sz val="11"/>
    </font>
    <font>
      <color rgb="FF6B7280"/>
      <sz val="9"/>
    </font>
    <font>
      <i/>
      <color rgb="FF6D28D9"/>
    </font>
    <font>
      <sz val="9"/>
    </font>
    <font>
      <b/>
      <color rgb="FF15803D"/>
    </font>
    <font>
      <i/>
      <color rgb="FF6B7280"/>
      <sz val="9"/>
    </font>
    <font>
      <b/>
      <color rgb="FFFFFFFF"/>
      <sz val="9"/>
    </font>
    <font>
      <b/>
      <sz val="9"/>
    </font>
    <font>
      <color rgb="FF6B7280"/>
      <sz val="8"/>
    </font>
    <font>
      <b/>
      <color rgb="FFB91C1C"/>
      <sz val="9"/>
    </font>
  </fonts>
  <fills count="7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01828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164" fontId="0" fillId="2" borderId="1" xfId="0" applyNumberFormat="1" applyFill="1" applyBorder="1"/>
    <xf numFmtId="164" fontId="3" fillId="4" borderId="0" xfId="0" applyNumberFormat="1" applyFont="1" applyFill="1"/>
    <xf numFmtId="9" fontId="0" fillId="2" borderId="1" xfId="0" applyNumberFormat="1" applyFill="1" applyBorder="1"/>
    <xf numFmtId="9" fontId="3" fillId="4" borderId="0" xfId="0" applyNumberFormat="1" applyFont="1" applyFill="1"/>
    <xf numFmtId="165" fontId="0" fillId="2" borderId="1" xfId="0" applyNumberFormat="1" applyFill="1" applyBorder="1"/>
    <xf numFmtId="165" fontId="3" fillId="4" borderId="0" xfId="0" applyNumberFormat="1" applyFont="1" applyFill="1"/>
    <xf numFmtId="166" fontId="0" fillId="2" borderId="1" xfId="0" applyNumberFormat="1" applyFill="1" applyBorder="1"/>
    <xf numFmtId="166" fontId="3" fillId="4" borderId="0" xfId="0" applyNumberFormat="1" applyFont="1" applyFill="1"/>
    <xf numFmtId="2" fontId="0" fillId="2" borderId="1" xfId="0" applyNumberFormat="1" applyFill="1" applyBorder="1"/>
    <xf numFmtId="2" fontId="3" fillId="4" borderId="0" xfId="0" applyNumberFormat="1" applyFont="1" applyFill="1"/>
    <xf numFmtId="3" fontId="0" fillId="2" borderId="1" xfId="0" applyNumberFormat="1" applyFill="1" applyBorder="1"/>
    <xf numFmtId="3" fontId="3" fillId="4" borderId="0" xfId="0" applyNumberFormat="1" applyFont="1" applyFill="1"/>
    <xf numFmtId="167" fontId="0" fillId="2" borderId="1" xfId="0" applyNumberFormat="1" applyFill="1" applyBorder="1"/>
    <xf numFmtId="167" fontId="3" fillId="4" borderId="0" xfId="0" applyNumberFormat="1" applyFont="1" applyFill="1"/>
    <xf numFmtId="168" fontId="0" fillId="2" borderId="1" xfId="0" applyNumberFormat="1" applyFill="1" applyBorder="1"/>
    <xf numFmtId="168" fontId="3" fillId="4" borderId="0" xfId="0" applyNumberFormat="1" applyFont="1" applyFill="1"/>
    <xf numFmtId="0" fontId="8" fillId="0" borderId="0" xfId="0" applyFont="1"/>
    <xf numFmtId="3" fontId="0" fillId="0" borderId="0" xfId="0" applyNumberFormat="1"/>
    <xf numFmtId="3" fontId="3" fillId="5" borderId="0" xfId="0" applyNumberFormat="1" applyFont="1" applyFill="1"/>
    <xf numFmtId="165" fontId="0" fillId="0" borderId="0" xfId="0" applyNumberFormat="1"/>
    <xf numFmtId="166" fontId="0" fillId="0" borderId="0" xfId="0" applyNumberFormat="1"/>
    <xf numFmtId="166" fontId="3" fillId="5" borderId="0" xfId="0" applyNumberFormat="1" applyFont="1" applyFill="1"/>
    <xf numFmtId="9" fontId="0" fillId="0" borderId="0" xfId="0" applyNumberFormat="1"/>
    <xf numFmtId="168" fontId="0" fillId="0" borderId="0" xfId="0" applyNumberFormat="1"/>
    <xf numFmtId="0" fontId="3" fillId="5" borderId="0" xfId="0" applyFont="1" applyFill="1"/>
    <xf numFmtId="0" fontId="0" fillId="5" borderId="0" xfId="0" applyFill="1"/>
    <xf numFmtId="0" fontId="7" fillId="5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5" borderId="0" xfId="0" applyFont="1" applyFill="1"/>
    <xf numFmtId="0" fontId="9" fillId="5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3" fillId="6" borderId="0" xfId="0" applyFont="1" applyFill="1"/>
    <xf numFmtId="0" fontId="0" fillId="5" borderId="0" xfId="0" applyFill="1" applyAlignment="1">
      <alignment wrapText="1"/>
    </xf>
    <xf numFmtId="0" fontId="10" fillId="5" borderId="0" xfId="0" applyFont="1" applyFill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3" borderId="0" xfId="0" applyFont="1" applyFill="1"/>
    <xf numFmtId="3" fontId="9" fillId="2" borderId="1" xfId="0" applyNumberFormat="1" applyFont="1" applyFill="1" applyBorder="1"/>
    <xf numFmtId="165" fontId="9" fillId="2" borderId="1" xfId="0" applyNumberFormat="1" applyFont="1" applyFill="1" applyBorder="1"/>
    <xf numFmtId="166" fontId="9" fillId="2" borderId="1" xfId="0" applyNumberFormat="1" applyFont="1" applyFill="1" applyBorder="1"/>
    <xf numFmtId="3" fontId="13" fillId="0" borderId="0" xfId="0" applyNumberFormat="1" applyFont="1"/>
    <xf numFmtId="166" fontId="9" fillId="0" borderId="0" xfId="0" applyNumberFormat="1" applyFont="1"/>
    <xf numFmtId="0" fontId="14" fillId="0" borderId="0" xfId="0" applyFont="1" applyAlignment="1">
      <alignment vertical="top" wrapText="1"/>
    </xf>
    <xf numFmtId="0" fontId="0" fillId="6" borderId="0" xfId="0" applyFill="1"/>
    <xf numFmtId="166" fontId="3" fillId="6" borderId="0" xfId="0" applyNumberFormat="1" applyFont="1" applyFill="1"/>
    <xf numFmtId="3" fontId="3" fillId="6" borderId="0" xfId="0" applyNumberFormat="1" applyFont="1" applyFill="1"/>
    <xf numFmtId="0" fontId="13" fillId="0" borderId="0" xfId="0" applyFont="1"/>
    <xf numFmtId="166" fontId="13" fillId="0" borderId="0" xfId="0" applyNumberFormat="1" applyFont="1"/>
    <xf numFmtId="164" fontId="9" fillId="2" borderId="1" xfId="0" applyNumberFormat="1" applyFont="1" applyFill="1" applyBorder="1"/>
    <xf numFmtId="9" fontId="9" fillId="2" borderId="1" xfId="0" applyNumberFormat="1" applyFont="1" applyFill="1" applyBorder="1"/>
    <xf numFmtId="3" fontId="13" fillId="2" borderId="1" xfId="0" applyNumberFormat="1" applyFont="1" applyFill="1" applyBorder="1"/>
    <xf numFmtId="166" fontId="3" fillId="0" borderId="0" xfId="0" applyNumberFormat="1" applyFont="1"/>
    <xf numFmtId="169" fontId="3" fillId="0" borderId="0" xfId="0" applyNumberFormat="1" applyFont="1"/>
    <xf numFmtId="168" fontId="3" fillId="0" borderId="0" xfId="0" applyNumberFormat="1" applyFont="1"/>
    <xf numFmtId="166" fontId="0" fillId="5" borderId="1" xfId="0" applyNumberFormat="1" applyFill="1" applyBorder="1"/>
    <xf numFmtId="170" fontId="0" fillId="5" borderId="1" xfId="0" applyNumberFormat="1" applyFill="1" applyBorder="1"/>
    <xf numFmtId="0" fontId="14" fillId="5" borderId="0" xfId="0" applyFont="1" applyFill="1" applyAlignment="1">
      <alignment vertical="top" wrapText="1"/>
    </xf>
    <xf numFmtId="170" fontId="0" fillId="2" borderId="1" xfId="0" applyNumberFormat="1" applyFill="1" applyBorder="1"/>
    <xf numFmtId="170" fontId="3" fillId="6" borderId="0" xfId="0" applyNumberFormat="1" applyFont="1" applyFill="1"/>
    <xf numFmtId="0" fontId="11" fillId="0" borderId="0" xfId="0" applyFont="1" applyAlignment="1">
      <alignment wrapText="1"/>
    </xf>
    <xf numFmtId="9" fontId="0" fillId="5" borderId="1" xfId="0" applyNumberFormat="1" applyFill="1" applyBorder="1"/>
    <xf numFmtId="166" fontId="0" fillId="5" borderId="0" xfId="0" applyNumberFormat="1" applyFill="1"/>
    <xf numFmtId="9" fontId="3" fillId="6" borderId="0" xfId="0" applyNumberFormat="1" applyFont="1" applyFill="1"/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5" fillId="5" borderId="0" xfId="0" applyFont="1" applyFill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</sheetPr>
  <dimension ref="B2:B33"/>
  <sheetFormatPr defaultRowHeight="15" outlineLevelRow="0" outlineLevelCol="0" x14ac:dyDescent="55"/>
  <cols>
    <col min="1" max="1" width="3" customWidth="1"/>
    <col min="2" max="2" width="11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5" spans="2:2" x14ac:dyDescent="0.25">
      <c r="B5" s="3" t="s">
        <v>2</v>
      </c>
    </row>
    <row r="6" spans="2:2" x14ac:dyDescent="0.25">
      <c r="B6" s="2" t="s">
        <v>3</v>
      </c>
    </row>
    <row r="7" spans="2:2" x14ac:dyDescent="0.25">
      <c r="B7" s="2" t="s">
        <v>4</v>
      </c>
    </row>
    <row r="8" spans="2:2" x14ac:dyDescent="0.25">
      <c r="B8" s="2" t="s">
        <v>5</v>
      </c>
    </row>
    <row r="9" spans="2:2" x14ac:dyDescent="0.25">
      <c r="B9" s="2" t="s">
        <v>6</v>
      </c>
    </row>
    <row r="10" spans="2:2" x14ac:dyDescent="0.25">
      <c r="B10" s="2" t="s">
        <v>1</v>
      </c>
    </row>
    <row r="11" spans="2:2" x14ac:dyDescent="0.25">
      <c r="B11" s="3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 t="s">
        <v>10</v>
      </c>
    </row>
    <row r="15" spans="2:2" x14ac:dyDescent="0.25">
      <c r="B15" s="2" t="s">
        <v>11</v>
      </c>
    </row>
    <row r="16" spans="2:2" x14ac:dyDescent="0.25">
      <c r="B16" s="2" t="s">
        <v>12</v>
      </c>
    </row>
    <row r="17" spans="2:2" x14ac:dyDescent="0.25">
      <c r="B17" s="2" t="s">
        <v>13</v>
      </c>
    </row>
    <row r="18" spans="2:2" x14ac:dyDescent="0.25">
      <c r="B18" s="2" t="s">
        <v>14</v>
      </c>
    </row>
    <row r="19" spans="2:2" x14ac:dyDescent="0.25">
      <c r="B19" s="2" t="s">
        <v>15</v>
      </c>
    </row>
    <row r="20" spans="2:2" x14ac:dyDescent="0.25">
      <c r="B20" s="2" t="s">
        <v>16</v>
      </c>
    </row>
    <row r="21" spans="2:2" x14ac:dyDescent="0.25">
      <c r="B21" s="2" t="s">
        <v>17</v>
      </c>
    </row>
    <row r="22" spans="2:2" x14ac:dyDescent="0.25">
      <c r="B22" s="2" t="s">
        <v>18</v>
      </c>
    </row>
    <row r="23" spans="2:2" x14ac:dyDescent="0.25">
      <c r="B23" s="2" t="s">
        <v>19</v>
      </c>
    </row>
    <row r="24" spans="2:2" x14ac:dyDescent="0.25">
      <c r="B24" s="2" t="s">
        <v>1</v>
      </c>
    </row>
    <row r="25" spans="2:2" x14ac:dyDescent="0.25">
      <c r="B25" s="3" t="s">
        <v>20</v>
      </c>
    </row>
    <row r="26" spans="2:2" x14ac:dyDescent="0.25">
      <c r="B26" s="2" t="s">
        <v>21</v>
      </c>
    </row>
    <row r="27" spans="2:2" x14ac:dyDescent="0.25">
      <c r="B27" s="2" t="s">
        <v>22</v>
      </c>
    </row>
    <row r="28" spans="2:2" x14ac:dyDescent="0.25">
      <c r="B28" s="2" t="s">
        <v>23</v>
      </c>
    </row>
    <row r="29" spans="2:2" x14ac:dyDescent="0.25">
      <c r="B29" s="2" t="s">
        <v>24</v>
      </c>
    </row>
    <row r="30" spans="2:2" x14ac:dyDescent="0.25">
      <c r="B30" s="2" t="s">
        <v>25</v>
      </c>
    </row>
    <row r="31" spans="2:2" x14ac:dyDescent="0.25">
      <c r="B31" s="2" t="s">
        <v>1</v>
      </c>
    </row>
    <row r="32" spans="2:2" x14ac:dyDescent="0.25">
      <c r="B32" s="2" t="s">
        <v>26</v>
      </c>
    </row>
    <row r="33" spans="2:2" x14ac:dyDescent="0.25">
      <c r="B33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G7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2" customWidth="1"/>
    <col min="3" max="3" width="20" customWidth="1"/>
    <col min="4" max="7" width="15" customWidth="1"/>
  </cols>
  <sheetData>
    <row r="1" spans="2:2" x14ac:dyDescent="0.25">
      <c r="B1" s="1" t="s">
        <v>28</v>
      </c>
    </row>
    <row r="3" spans="2:5" x14ac:dyDescent="0.25">
      <c r="B3" s="4" t="s">
        <v>29</v>
      </c>
      <c r="D3" s="5">
        <v>2</v>
      </c>
      <c r="E3" s="6" t="str">
        <f>CHOOSE($D$3,"CONSERVATIVE","BASE","AGGRESSIVE")</f>
        <v>BASE</v>
      </c>
    </row>
    <row r="5" spans="1:7" s="7" customFormat="1" x14ac:dyDescent="0.25">
      <c r="A5" s="7"/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</row>
    <row r="6" spans="2:7" x14ac:dyDescent="0.25">
      <c r="B6" s="9" t="s">
        <v>36</v>
      </c>
      <c r="C6" s="9"/>
      <c r="D6" s="9"/>
      <c r="E6" s="9"/>
      <c r="F6" s="9"/>
      <c r="G6" s="9"/>
    </row>
    <row r="7" spans="2:7" x14ac:dyDescent="0.25">
      <c r="B7" t="s">
        <v>37</v>
      </c>
      <c r="C7" s="10" t="s">
        <v>38</v>
      </c>
      <c r="D7" s="11">
        <v>3.99</v>
      </c>
      <c r="E7" s="11">
        <v>4.99</v>
      </c>
      <c r="F7" s="11">
        <v>5.99</v>
      </c>
      <c r="G7" s="12">
        <f>CHOOSE($D$3,D7,E7,F7)</f>
        <v>4.99</v>
      </c>
    </row>
    <row r="8" spans="2:7" x14ac:dyDescent="0.25">
      <c r="B8" t="s">
        <v>39</v>
      </c>
      <c r="C8" s="10" t="s">
        <v>40</v>
      </c>
      <c r="D8" s="11">
        <v>6.99</v>
      </c>
      <c r="E8" s="11">
        <v>7.99</v>
      </c>
      <c r="F8" s="11">
        <v>8.99</v>
      </c>
      <c r="G8" s="12">
        <f>CHOOSE($D$3,D8,E8,F8)</f>
        <v>7.99</v>
      </c>
    </row>
    <row r="9" spans="2:7" x14ac:dyDescent="0.25">
      <c r="B9" t="s">
        <v>41</v>
      </c>
      <c r="C9" s="10" t="s">
        <v>42</v>
      </c>
      <c r="D9" s="13">
        <v>0.4</v>
      </c>
      <c r="E9" s="13">
        <v>0.36</v>
      </c>
      <c r="F9" s="13">
        <v>0.33</v>
      </c>
      <c r="G9" s="14">
        <f>CHOOSE($D$3,D9,E9,F9)</f>
        <v>0.36</v>
      </c>
    </row>
    <row r="10" spans="2:7" x14ac:dyDescent="0.25">
      <c r="B10" t="s">
        <v>43</v>
      </c>
      <c r="C10" s="10" t="s">
        <v>44</v>
      </c>
      <c r="D10" s="13">
        <v>0.5</v>
      </c>
      <c r="E10" s="13">
        <v>0.45</v>
      </c>
      <c r="F10" s="13">
        <v>0.4</v>
      </c>
      <c r="G10" s="14">
        <f>CHOOSE($D$3,D10,E10,F10)</f>
        <v>0.45</v>
      </c>
    </row>
    <row r="11" spans="2:7" x14ac:dyDescent="0.25">
      <c r="B11" t="s">
        <v>45</v>
      </c>
      <c r="C11" s="10" t="s">
        <v>46</v>
      </c>
      <c r="D11" s="15">
        <v>0.055</v>
      </c>
      <c r="E11" s="15">
        <v>0.045</v>
      </c>
      <c r="F11" s="15">
        <v>0.04</v>
      </c>
      <c r="G11" s="16">
        <f>CHOOSE($D$3,D11,E11,F11)</f>
        <v>0.045</v>
      </c>
    </row>
    <row r="12" spans="2:7" x14ac:dyDescent="0.25">
      <c r="B12" t="s">
        <v>47</v>
      </c>
      <c r="C12" s="10" t="s">
        <v>48</v>
      </c>
      <c r="D12" s="11">
        <v>1.2</v>
      </c>
      <c r="E12" s="11">
        <v>2.4</v>
      </c>
      <c r="F12" s="11">
        <v>4</v>
      </c>
      <c r="G12" s="12">
        <f>CHOOSE($D$3,D12,E12,F12)</f>
        <v>2.4</v>
      </c>
    </row>
    <row r="13" spans="2:7" x14ac:dyDescent="0.25">
      <c r="B13" t="s">
        <v>49</v>
      </c>
      <c r="C13" s="10" t="s">
        <v>50</v>
      </c>
      <c r="D13" s="17">
        <v>15</v>
      </c>
      <c r="E13" s="17">
        <v>30</v>
      </c>
      <c r="F13" s="17">
        <v>60</v>
      </c>
      <c r="G13" s="18">
        <f>CHOOSE($D$3,D13,E13,F13)</f>
        <v>30</v>
      </c>
    </row>
    <row r="14" spans="2:7" x14ac:dyDescent="0.25">
      <c r="B14" t="s">
        <v>51</v>
      </c>
      <c r="C14" s="10" t="s">
        <v>52</v>
      </c>
      <c r="D14" s="13">
        <v>0.06</v>
      </c>
      <c r="E14" s="13">
        <v>0.08</v>
      </c>
      <c r="F14" s="13">
        <v>0.1</v>
      </c>
      <c r="G14" s="14">
        <f>CHOOSE($D$3,D14,E14,F14)</f>
        <v>0.08</v>
      </c>
    </row>
    <row r="15" spans="2:7" x14ac:dyDescent="0.25">
      <c r="B15" s="9" t="s">
        <v>53</v>
      </c>
      <c r="C15" s="9"/>
      <c r="D15" s="9"/>
      <c r="E15" s="9"/>
      <c r="F15" s="9"/>
      <c r="G15" s="9"/>
    </row>
    <row r="16" spans="2:7" x14ac:dyDescent="0.25">
      <c r="B16" t="s">
        <v>54</v>
      </c>
      <c r="C16" s="10" t="s">
        <v>55</v>
      </c>
      <c r="D16" s="11">
        <v>35</v>
      </c>
      <c r="E16" s="11">
        <v>25</v>
      </c>
      <c r="F16" s="11">
        <v>20</v>
      </c>
      <c r="G16" s="12">
        <f>CHOOSE($D$3,D16,E16,F16)</f>
        <v>25</v>
      </c>
    </row>
    <row r="17" spans="2:7" x14ac:dyDescent="0.25">
      <c r="B17" t="s">
        <v>56</v>
      </c>
      <c r="C17" s="10" t="s">
        <v>57</v>
      </c>
      <c r="D17" s="19">
        <v>0.95</v>
      </c>
      <c r="E17" s="19">
        <v>0.9</v>
      </c>
      <c r="F17" s="19">
        <v>0.88</v>
      </c>
      <c r="G17" s="20">
        <f>CHOOSE($D$3,D17,E17,F17)</f>
        <v>0.9</v>
      </c>
    </row>
    <row r="18" spans="2:7" x14ac:dyDescent="0.25">
      <c r="B18" t="s">
        <v>58</v>
      </c>
      <c r="C18" s="10" t="s">
        <v>59</v>
      </c>
      <c r="D18" s="21">
        <v>8</v>
      </c>
      <c r="E18" s="21">
        <v>10</v>
      </c>
      <c r="F18" s="21">
        <v>12</v>
      </c>
      <c r="G18" s="22">
        <f>CHOOSE($D$3,D18,E18,F18)</f>
        <v>10</v>
      </c>
    </row>
    <row r="19" spans="2:7" x14ac:dyDescent="0.25">
      <c r="B19" t="s">
        <v>60</v>
      </c>
      <c r="C19" s="10" t="s">
        <v>61</v>
      </c>
      <c r="D19" s="23">
        <v>0.05</v>
      </c>
      <c r="E19" s="23">
        <v>0.04</v>
      </c>
      <c r="F19" s="23">
        <v>0.03</v>
      </c>
      <c r="G19" s="24">
        <f>CHOOSE($D$3,D19,E19,F19)</f>
        <v>0.04</v>
      </c>
    </row>
    <row r="20" spans="2:7" x14ac:dyDescent="0.25">
      <c r="B20" s="9" t="s">
        <v>62</v>
      </c>
      <c r="C20" s="9"/>
      <c r="D20" s="9"/>
      <c r="E20" s="9"/>
      <c r="F20" s="9"/>
      <c r="G20" s="9"/>
    </row>
    <row r="21" spans="2:7" x14ac:dyDescent="0.25">
      <c r="B21" t="s">
        <v>63</v>
      </c>
      <c r="C21" s="10" t="s">
        <v>64</v>
      </c>
      <c r="D21" s="13">
        <v>0.45</v>
      </c>
      <c r="E21" s="13">
        <v>0.55</v>
      </c>
      <c r="F21" s="13">
        <v>0.65</v>
      </c>
      <c r="G21" s="14">
        <f>CHOOSE($D$3,D21,E21,F21)</f>
        <v>0.55</v>
      </c>
    </row>
    <row r="22" spans="2:7" x14ac:dyDescent="0.25">
      <c r="B22" t="s">
        <v>65</v>
      </c>
      <c r="C22" s="10" t="s">
        <v>66</v>
      </c>
      <c r="D22" s="25">
        <v>2.5</v>
      </c>
      <c r="E22" s="25">
        <v>3.5</v>
      </c>
      <c r="F22" s="25">
        <v>4.5</v>
      </c>
      <c r="G22" s="26">
        <f>CHOOSE($D$3,D22,E22,F22)</f>
        <v>3.5</v>
      </c>
    </row>
    <row r="23" spans="2:7" x14ac:dyDescent="0.25">
      <c r="B23" t="s">
        <v>67</v>
      </c>
      <c r="C23" s="10" t="s">
        <v>68</v>
      </c>
      <c r="D23" s="17">
        <v>60</v>
      </c>
      <c r="E23" s="17">
        <v>40</v>
      </c>
      <c r="F23" s="17">
        <v>30</v>
      </c>
      <c r="G23" s="18">
        <f>CHOOSE($D$3,D23,E23,F23)</f>
        <v>40</v>
      </c>
    </row>
    <row r="24" spans="2:7" x14ac:dyDescent="0.25">
      <c r="B24" t="s">
        <v>69</v>
      </c>
      <c r="C24" s="10" t="s">
        <v>38</v>
      </c>
      <c r="D24" s="17">
        <v>12</v>
      </c>
      <c r="E24" s="17">
        <v>8</v>
      </c>
      <c r="F24" s="17">
        <v>6</v>
      </c>
      <c r="G24" s="18">
        <f>CHOOSE($D$3,D24,E24,F24)</f>
        <v>8</v>
      </c>
    </row>
    <row r="25" spans="2:7" x14ac:dyDescent="0.25">
      <c r="B25" t="s">
        <v>70</v>
      </c>
      <c r="C25" s="10" t="s">
        <v>71</v>
      </c>
      <c r="D25" s="17">
        <v>6</v>
      </c>
      <c r="E25" s="17">
        <v>4</v>
      </c>
      <c r="F25" s="17">
        <v>3</v>
      </c>
      <c r="G25" s="18">
        <f>CHOOSE($D$3,D25,E25,F25)</f>
        <v>4</v>
      </c>
    </row>
    <row r="26" spans="2:7" x14ac:dyDescent="0.25">
      <c r="B26" s="9" t="s">
        <v>72</v>
      </c>
      <c r="C26" s="9"/>
      <c r="D26" s="9"/>
      <c r="E26" s="9"/>
      <c r="F26" s="9"/>
      <c r="G26" s="9"/>
    </row>
    <row r="27" spans="2:7" x14ac:dyDescent="0.25">
      <c r="B27" t="s">
        <v>73</v>
      </c>
      <c r="C27" s="10" t="s">
        <v>74</v>
      </c>
      <c r="D27" s="21">
        <v>155</v>
      </c>
      <c r="E27" s="21">
        <v>145</v>
      </c>
      <c r="F27" s="21">
        <v>135</v>
      </c>
      <c r="G27" s="22">
        <f>CHOOSE($D$3,D27,E27,F27)</f>
        <v>145</v>
      </c>
    </row>
    <row r="28" spans="2:7" x14ac:dyDescent="0.25">
      <c r="B28" t="s">
        <v>75</v>
      </c>
      <c r="C28" s="10" t="s">
        <v>74</v>
      </c>
      <c r="D28" s="21">
        <v>80</v>
      </c>
      <c r="E28" s="21">
        <v>120</v>
      </c>
      <c r="F28" s="21">
        <v>180</v>
      </c>
      <c r="G28" s="22">
        <f>CHOOSE($D$3,D28,E28,F28)</f>
        <v>120</v>
      </c>
    </row>
    <row r="29" spans="2:7" x14ac:dyDescent="0.25">
      <c r="B29" t="s">
        <v>76</v>
      </c>
      <c r="C29" s="10" t="s">
        <v>77</v>
      </c>
      <c r="D29" s="13">
        <v>0.06</v>
      </c>
      <c r="E29" s="13">
        <v>0.05</v>
      </c>
      <c r="F29" s="13">
        <v>0.04</v>
      </c>
      <c r="G29" s="14">
        <f>CHOOSE($D$3,D29,E29,F29)</f>
        <v>0.05</v>
      </c>
    </row>
    <row r="30" spans="2:7" x14ac:dyDescent="0.25">
      <c r="B30" t="s">
        <v>78</v>
      </c>
      <c r="C30" s="10" t="s">
        <v>79</v>
      </c>
      <c r="D30" s="13">
        <v>0.15</v>
      </c>
      <c r="E30" s="13">
        <v>0.12</v>
      </c>
      <c r="F30" s="13">
        <v>0.1</v>
      </c>
      <c r="G30" s="14">
        <f>CHOOSE($D$3,D30,E30,F30)</f>
        <v>0.12</v>
      </c>
    </row>
    <row r="31" spans="2:7" x14ac:dyDescent="0.25">
      <c r="B31" t="s">
        <v>80</v>
      </c>
      <c r="C31" s="10" t="s">
        <v>81</v>
      </c>
      <c r="D31" s="21">
        <v>2000</v>
      </c>
      <c r="E31" s="21">
        <v>4000</v>
      </c>
      <c r="F31" s="21">
        <v>7000</v>
      </c>
      <c r="G31" s="22">
        <f>CHOOSE($D$3,D31,E31,F31)</f>
        <v>4000</v>
      </c>
    </row>
    <row r="32" spans="2:7" x14ac:dyDescent="0.25">
      <c r="B32" s="9" t="s">
        <v>82</v>
      </c>
      <c r="C32" s="9"/>
      <c r="D32" s="9"/>
      <c r="E32" s="9"/>
      <c r="F32" s="9"/>
      <c r="G32" s="9"/>
    </row>
    <row r="33" spans="2:7" x14ac:dyDescent="0.25">
      <c r="B33" t="s">
        <v>83</v>
      </c>
      <c r="C33" s="10" t="s">
        <v>84</v>
      </c>
      <c r="D33" s="25">
        <v>15</v>
      </c>
      <c r="E33" s="25">
        <v>30</v>
      </c>
      <c r="F33" s="25">
        <v>50</v>
      </c>
      <c r="G33" s="26">
        <f>CHOOSE($D$3,D33,E33,F33)</f>
        <v>30</v>
      </c>
    </row>
    <row r="34" spans="2:7" x14ac:dyDescent="0.25">
      <c r="B34" t="s">
        <v>85</v>
      </c>
      <c r="C34" s="10" t="s">
        <v>84</v>
      </c>
      <c r="D34" s="25">
        <v>60</v>
      </c>
      <c r="E34" s="25">
        <v>120</v>
      </c>
      <c r="F34" s="25">
        <v>250</v>
      </c>
      <c r="G34" s="26">
        <f>CHOOSE($D$3,D34,E34,F34)</f>
        <v>120</v>
      </c>
    </row>
    <row r="35" spans="2:7" x14ac:dyDescent="0.25">
      <c r="B35" t="s">
        <v>86</v>
      </c>
      <c r="C35" s="10" t="s">
        <v>84</v>
      </c>
      <c r="D35" s="25">
        <v>180</v>
      </c>
      <c r="E35" s="25">
        <v>400</v>
      </c>
      <c r="F35" s="25">
        <v>900</v>
      </c>
      <c r="G35" s="26">
        <f>CHOOSE($D$3,D35,E35,F35)</f>
        <v>400</v>
      </c>
    </row>
    <row r="36" spans="2:7" x14ac:dyDescent="0.25">
      <c r="B36" t="s">
        <v>87</v>
      </c>
      <c r="C36" s="10" t="s">
        <v>84</v>
      </c>
      <c r="D36" s="25">
        <v>420</v>
      </c>
      <c r="E36" s="25">
        <v>1000</v>
      </c>
      <c r="F36" s="25">
        <v>2500</v>
      </c>
      <c r="G36" s="26">
        <f>CHOOSE($D$3,D36,E36,F36)</f>
        <v>1000</v>
      </c>
    </row>
    <row r="37" spans="2:7" x14ac:dyDescent="0.25">
      <c r="B37" t="s">
        <v>88</v>
      </c>
      <c r="C37" s="10" t="s">
        <v>84</v>
      </c>
      <c r="D37" s="25">
        <v>800</v>
      </c>
      <c r="E37" s="25">
        <v>2000</v>
      </c>
      <c r="F37" s="25">
        <v>5000</v>
      </c>
      <c r="G37" s="26">
        <f>CHOOSE($D$3,D37,E37,F37)</f>
        <v>2000</v>
      </c>
    </row>
    <row r="38" spans="2:7" x14ac:dyDescent="0.25">
      <c r="B38" t="s">
        <v>89</v>
      </c>
      <c r="C38" s="10" t="s">
        <v>90</v>
      </c>
      <c r="D38" s="25">
        <v>1.5</v>
      </c>
      <c r="E38" s="25">
        <v>2.5</v>
      </c>
      <c r="F38" s="25">
        <v>4</v>
      </c>
      <c r="G38" s="26">
        <f>CHOOSE($D$3,D38,E38,F38)</f>
        <v>2.5</v>
      </c>
    </row>
    <row r="39" spans="2:7" x14ac:dyDescent="0.25">
      <c r="B39" t="s">
        <v>91</v>
      </c>
      <c r="C39" s="10" t="s">
        <v>90</v>
      </c>
      <c r="D39" s="25">
        <v>6</v>
      </c>
      <c r="E39" s="25">
        <v>12</v>
      </c>
      <c r="F39" s="25">
        <v>25</v>
      </c>
      <c r="G39" s="26">
        <f>CHOOSE($D$3,D39,E39,F39)</f>
        <v>12</v>
      </c>
    </row>
    <row r="40" spans="2:7" x14ac:dyDescent="0.25">
      <c r="B40" t="s">
        <v>92</v>
      </c>
      <c r="C40" s="10" t="s">
        <v>90</v>
      </c>
      <c r="D40" s="25">
        <v>18</v>
      </c>
      <c r="E40" s="25">
        <v>40</v>
      </c>
      <c r="F40" s="25">
        <v>90</v>
      </c>
      <c r="G40" s="26">
        <f>CHOOSE($D$3,D40,E40,F40)</f>
        <v>40</v>
      </c>
    </row>
    <row r="41" spans="2:7" x14ac:dyDescent="0.25">
      <c r="B41" t="s">
        <v>93</v>
      </c>
      <c r="C41" s="10" t="s">
        <v>90</v>
      </c>
      <c r="D41" s="25">
        <v>40</v>
      </c>
      <c r="E41" s="25">
        <v>95</v>
      </c>
      <c r="F41" s="25">
        <v>220</v>
      </c>
      <c r="G41" s="26">
        <f>CHOOSE($D$3,D41,E41,F41)</f>
        <v>95</v>
      </c>
    </row>
    <row r="42" spans="2:7" x14ac:dyDescent="0.25">
      <c r="B42" t="s">
        <v>94</v>
      </c>
      <c r="C42" s="10" t="s">
        <v>90</v>
      </c>
      <c r="D42" s="25">
        <v>75</v>
      </c>
      <c r="E42" s="25">
        <v>190</v>
      </c>
      <c r="F42" s="25">
        <v>450</v>
      </c>
      <c r="G42" s="26">
        <f>CHOOSE($D$3,D42,E42,F42)</f>
        <v>190</v>
      </c>
    </row>
    <row r="43" spans="2:7" x14ac:dyDescent="0.25">
      <c r="B43" t="s">
        <v>95</v>
      </c>
      <c r="C43" s="10" t="s">
        <v>96</v>
      </c>
      <c r="D43" s="15">
        <v>0.09</v>
      </c>
      <c r="E43" s="15">
        <v>0.08</v>
      </c>
      <c r="F43" s="15">
        <v>0.07</v>
      </c>
      <c r="G43" s="16">
        <f>CHOOSE($D$3,D43,E43,F43)</f>
        <v>0.08</v>
      </c>
    </row>
    <row r="44" spans="2:7" x14ac:dyDescent="0.25">
      <c r="B44" t="s">
        <v>97</v>
      </c>
      <c r="C44" s="10" t="s">
        <v>96</v>
      </c>
      <c r="D44" s="15">
        <v>0.08</v>
      </c>
      <c r="E44" s="15">
        <v>0.07</v>
      </c>
      <c r="F44" s="15">
        <v>0.06</v>
      </c>
      <c r="G44" s="16">
        <f>CHOOSE($D$3,D44,E44,F44)</f>
        <v>0.07</v>
      </c>
    </row>
    <row r="45" spans="2:7" x14ac:dyDescent="0.25">
      <c r="B45" t="s">
        <v>98</v>
      </c>
      <c r="C45" s="10" t="s">
        <v>96</v>
      </c>
      <c r="D45" s="15">
        <v>0.075</v>
      </c>
      <c r="E45" s="15">
        <v>0.065</v>
      </c>
      <c r="F45" s="15">
        <v>0.055</v>
      </c>
      <c r="G45" s="16">
        <f>CHOOSE($D$3,D45,E45,F45)</f>
        <v>0.065</v>
      </c>
    </row>
    <row r="46" spans="2:7" x14ac:dyDescent="0.25">
      <c r="B46" t="s">
        <v>99</v>
      </c>
      <c r="C46" s="10" t="s">
        <v>96</v>
      </c>
      <c r="D46" s="15">
        <v>0.07</v>
      </c>
      <c r="E46" s="15">
        <v>0.06</v>
      </c>
      <c r="F46" s="15">
        <v>0.05</v>
      </c>
      <c r="G46" s="16">
        <f>CHOOSE($D$3,D46,E46,F46)</f>
        <v>0.06</v>
      </c>
    </row>
    <row r="47" spans="2:7" x14ac:dyDescent="0.25">
      <c r="B47" t="s">
        <v>100</v>
      </c>
      <c r="C47" s="10" t="s">
        <v>96</v>
      </c>
      <c r="D47" s="15">
        <v>0.065</v>
      </c>
      <c r="E47" s="15">
        <v>0.055</v>
      </c>
      <c r="F47" s="15">
        <v>0.045</v>
      </c>
      <c r="G47" s="16">
        <f>CHOOSE($D$3,D47,E47,F47)</f>
        <v>0.055</v>
      </c>
    </row>
    <row r="48" spans="2:7" x14ac:dyDescent="0.25">
      <c r="B48" t="s">
        <v>101</v>
      </c>
      <c r="C48" s="10" t="s">
        <v>102</v>
      </c>
      <c r="D48" s="25">
        <v>2.5</v>
      </c>
      <c r="E48" s="25">
        <v>3</v>
      </c>
      <c r="F48" s="25">
        <v>3.5</v>
      </c>
      <c r="G48" s="26">
        <f>CHOOSE($D$3,D48,E48,F48)</f>
        <v>3</v>
      </c>
    </row>
    <row r="49" spans="2:7" x14ac:dyDescent="0.25">
      <c r="B49" t="s">
        <v>103</v>
      </c>
      <c r="C49" s="10" t="s">
        <v>102</v>
      </c>
      <c r="D49" s="25">
        <v>3</v>
      </c>
      <c r="E49" s="25">
        <v>3.5</v>
      </c>
      <c r="F49" s="25">
        <v>4</v>
      </c>
      <c r="G49" s="26">
        <f>CHOOSE($D$3,D49,E49,F49)</f>
        <v>3.5</v>
      </c>
    </row>
    <row r="50" spans="2:7" x14ac:dyDescent="0.25">
      <c r="B50" t="s">
        <v>104</v>
      </c>
      <c r="C50" s="10" t="s">
        <v>102</v>
      </c>
      <c r="D50" s="25">
        <v>3.5</v>
      </c>
      <c r="E50" s="25">
        <v>4</v>
      </c>
      <c r="F50" s="25">
        <v>4.5</v>
      </c>
      <c r="G50" s="26">
        <f>CHOOSE($D$3,D50,E50,F50)</f>
        <v>4</v>
      </c>
    </row>
    <row r="51" spans="2:7" x14ac:dyDescent="0.25">
      <c r="B51" t="s">
        <v>105</v>
      </c>
      <c r="C51" s="10" t="s">
        <v>102</v>
      </c>
      <c r="D51" s="25">
        <v>4</v>
      </c>
      <c r="E51" s="25">
        <v>4.5</v>
      </c>
      <c r="F51" s="25">
        <v>5</v>
      </c>
      <c r="G51" s="26">
        <f>CHOOSE($D$3,D51,E51,F51)</f>
        <v>4.5</v>
      </c>
    </row>
    <row r="52" spans="2:7" x14ac:dyDescent="0.25">
      <c r="B52" t="s">
        <v>106</v>
      </c>
      <c r="C52" s="10" t="s">
        <v>102</v>
      </c>
      <c r="D52" s="25">
        <v>4.5</v>
      </c>
      <c r="E52" s="25">
        <v>5</v>
      </c>
      <c r="F52" s="25">
        <v>5.5</v>
      </c>
      <c r="G52" s="26">
        <f>CHOOSE($D$3,D52,E52,F52)</f>
        <v>5</v>
      </c>
    </row>
    <row r="53" spans="2:7" x14ac:dyDescent="0.25">
      <c r="B53" t="s">
        <v>107</v>
      </c>
      <c r="C53" s="10" t="s">
        <v>108</v>
      </c>
      <c r="D53" s="13">
        <v>0.85</v>
      </c>
      <c r="E53" s="13">
        <v>0.8</v>
      </c>
      <c r="F53" s="13">
        <v>0.75</v>
      </c>
      <c r="G53" s="14">
        <f>CHOOSE($D$3,D53,E53,F53)</f>
        <v>0.8</v>
      </c>
    </row>
    <row r="54" spans="2:7" x14ac:dyDescent="0.25">
      <c r="B54" t="s">
        <v>109</v>
      </c>
      <c r="C54" s="10" t="s">
        <v>108</v>
      </c>
      <c r="D54" s="13">
        <v>0.8</v>
      </c>
      <c r="E54" s="13">
        <v>0.7</v>
      </c>
      <c r="F54" s="13">
        <v>0.65</v>
      </c>
      <c r="G54" s="14">
        <f>CHOOSE($D$3,D54,E54,F54)</f>
        <v>0.7</v>
      </c>
    </row>
    <row r="55" spans="2:7" x14ac:dyDescent="0.25">
      <c r="B55" t="s">
        <v>110</v>
      </c>
      <c r="C55" s="10" t="s">
        <v>108</v>
      </c>
      <c r="D55" s="13">
        <v>0.75</v>
      </c>
      <c r="E55" s="13">
        <v>0.6</v>
      </c>
      <c r="F55" s="13">
        <v>0.5</v>
      </c>
      <c r="G55" s="14">
        <f>CHOOSE($D$3,D55,E55,F55)</f>
        <v>0.6</v>
      </c>
    </row>
    <row r="56" spans="2:7" x14ac:dyDescent="0.25">
      <c r="B56" t="s">
        <v>111</v>
      </c>
      <c r="C56" s="10" t="s">
        <v>108</v>
      </c>
      <c r="D56" s="13">
        <v>0.7</v>
      </c>
      <c r="E56" s="13">
        <v>0.5</v>
      </c>
      <c r="F56" s="13">
        <v>0.4</v>
      </c>
      <c r="G56" s="14">
        <f>CHOOSE($D$3,D56,E56,F56)</f>
        <v>0.5</v>
      </c>
    </row>
    <row r="57" spans="2:7" x14ac:dyDescent="0.25">
      <c r="B57" t="s">
        <v>112</v>
      </c>
      <c r="C57" s="10" t="s">
        <v>108</v>
      </c>
      <c r="D57" s="13">
        <v>0.65</v>
      </c>
      <c r="E57" s="13">
        <v>0.4</v>
      </c>
      <c r="F57" s="13">
        <v>0.3</v>
      </c>
      <c r="G57" s="14">
        <f>CHOOSE($D$3,D57,E57,F57)</f>
        <v>0.4</v>
      </c>
    </row>
    <row r="58" spans="2:7" x14ac:dyDescent="0.25">
      <c r="B58" t="s">
        <v>113</v>
      </c>
      <c r="C58" s="10" t="s">
        <v>114</v>
      </c>
      <c r="D58" s="21">
        <v>300</v>
      </c>
      <c r="E58" s="21">
        <v>500</v>
      </c>
      <c r="F58" s="21">
        <v>900</v>
      </c>
      <c r="G58" s="22">
        <f>CHOOSE($D$3,D58,E58,F58)</f>
        <v>500</v>
      </c>
    </row>
    <row r="59" spans="2:7" x14ac:dyDescent="0.25">
      <c r="B59" t="s">
        <v>115</v>
      </c>
      <c r="C59" s="10" t="s">
        <v>114</v>
      </c>
      <c r="D59" s="21">
        <v>700</v>
      </c>
      <c r="E59" s="21">
        <v>1200</v>
      </c>
      <c r="F59" s="21">
        <v>2500</v>
      </c>
      <c r="G59" s="22">
        <f>CHOOSE($D$3,D59,E59,F59)</f>
        <v>1200</v>
      </c>
    </row>
    <row r="60" spans="2:7" x14ac:dyDescent="0.25">
      <c r="B60" t="s">
        <v>116</v>
      </c>
      <c r="C60" s="10" t="s">
        <v>114</v>
      </c>
      <c r="D60" s="21">
        <v>1500</v>
      </c>
      <c r="E60" s="21">
        <v>2800</v>
      </c>
      <c r="F60" s="21">
        <v>6000</v>
      </c>
      <c r="G60" s="22">
        <f>CHOOSE($D$3,D60,E60,F60)</f>
        <v>2800</v>
      </c>
    </row>
    <row r="61" spans="2:7" x14ac:dyDescent="0.25">
      <c r="B61" t="s">
        <v>117</v>
      </c>
      <c r="C61" s="10" t="s">
        <v>114</v>
      </c>
      <c r="D61" s="21">
        <v>2500</v>
      </c>
      <c r="E61" s="21">
        <v>5000</v>
      </c>
      <c r="F61" s="21">
        <v>11000</v>
      </c>
      <c r="G61" s="22">
        <f>CHOOSE($D$3,D61,E61,F61)</f>
        <v>5000</v>
      </c>
    </row>
    <row r="62" spans="2:7" x14ac:dyDescent="0.25">
      <c r="B62" t="s">
        <v>118</v>
      </c>
      <c r="C62" s="10" t="s">
        <v>114</v>
      </c>
      <c r="D62" s="21">
        <v>4000</v>
      </c>
      <c r="E62" s="21">
        <v>8000</v>
      </c>
      <c r="F62" s="21">
        <v>18000</v>
      </c>
      <c r="G62" s="22">
        <f>CHOOSE($D$3,D62,E62,F62)</f>
        <v>8000</v>
      </c>
    </row>
    <row r="63" spans="2:7" x14ac:dyDescent="0.25">
      <c r="B63" t="s">
        <v>119</v>
      </c>
      <c r="C63" s="10" t="s">
        <v>120</v>
      </c>
      <c r="D63" s="21">
        <v>5</v>
      </c>
      <c r="E63" s="21">
        <v>6</v>
      </c>
      <c r="F63" s="21">
        <v>8</v>
      </c>
      <c r="G63" s="22">
        <f>CHOOSE($D$3,D63,E63,F63)</f>
        <v>6</v>
      </c>
    </row>
    <row r="64" spans="2:7" x14ac:dyDescent="0.25">
      <c r="B64" t="s">
        <v>121</v>
      </c>
      <c r="C64" s="10" t="s">
        <v>120</v>
      </c>
      <c r="D64" s="21">
        <v>8</v>
      </c>
      <c r="E64" s="21">
        <v>12</v>
      </c>
      <c r="F64" s="21">
        <v>18</v>
      </c>
      <c r="G64" s="22">
        <f>CHOOSE($D$3,D64,E64,F64)</f>
        <v>12</v>
      </c>
    </row>
    <row r="65" spans="2:7" x14ac:dyDescent="0.25">
      <c r="B65" t="s">
        <v>122</v>
      </c>
      <c r="C65" s="10" t="s">
        <v>120</v>
      </c>
      <c r="D65" s="21">
        <v>14</v>
      </c>
      <c r="E65" s="21">
        <v>22</v>
      </c>
      <c r="F65" s="21">
        <v>34</v>
      </c>
      <c r="G65" s="22">
        <f>CHOOSE($D$3,D65,E65,F65)</f>
        <v>22</v>
      </c>
    </row>
    <row r="66" spans="2:7" x14ac:dyDescent="0.25">
      <c r="B66" t="s">
        <v>123</v>
      </c>
      <c r="C66" s="10" t="s">
        <v>120</v>
      </c>
      <c r="D66" s="21">
        <v>22</v>
      </c>
      <c r="E66" s="21">
        <v>36</v>
      </c>
      <c r="F66" s="21">
        <v>56</v>
      </c>
      <c r="G66" s="22">
        <f>CHOOSE($D$3,D66,E66,F66)</f>
        <v>36</v>
      </c>
    </row>
    <row r="67" spans="2:7" x14ac:dyDescent="0.25">
      <c r="B67" t="s">
        <v>124</v>
      </c>
      <c r="C67" s="10" t="s">
        <v>120</v>
      </c>
      <c r="D67" s="21">
        <v>32</v>
      </c>
      <c r="E67" s="21">
        <v>48</v>
      </c>
      <c r="F67" s="21">
        <v>80</v>
      </c>
      <c r="G67" s="22">
        <f>CHOOSE($D$3,D67,E67,F67)</f>
        <v>48</v>
      </c>
    </row>
    <row r="68" spans="2:7" x14ac:dyDescent="0.25">
      <c r="B68" t="s">
        <v>125</v>
      </c>
      <c r="C68" s="10" t="s">
        <v>74</v>
      </c>
      <c r="D68" s="21">
        <v>60</v>
      </c>
      <c r="E68" s="21">
        <v>100</v>
      </c>
      <c r="F68" s="21">
        <v>200</v>
      </c>
      <c r="G68" s="22">
        <f>CHOOSE($D$3,D68,E68,F68)</f>
        <v>100</v>
      </c>
    </row>
    <row r="69" spans="2:7" x14ac:dyDescent="0.25">
      <c r="B69" t="s">
        <v>126</v>
      </c>
      <c r="C69" s="10" t="s">
        <v>74</v>
      </c>
      <c r="D69" s="21">
        <v>150</v>
      </c>
      <c r="E69" s="21">
        <v>250</v>
      </c>
      <c r="F69" s="21">
        <v>600</v>
      </c>
      <c r="G69" s="22">
        <f>CHOOSE($D$3,D69,E69,F69)</f>
        <v>250</v>
      </c>
    </row>
    <row r="70" spans="2:7" x14ac:dyDescent="0.25">
      <c r="B70" t="s">
        <v>127</v>
      </c>
      <c r="C70" s="10" t="s">
        <v>74</v>
      </c>
      <c r="D70" s="21">
        <v>350</v>
      </c>
      <c r="E70" s="21">
        <v>600</v>
      </c>
      <c r="F70" s="21">
        <v>1500</v>
      </c>
      <c r="G70" s="22">
        <f>CHOOSE($D$3,D70,E70,F70)</f>
        <v>600</v>
      </c>
    </row>
    <row r="71" spans="2:7" x14ac:dyDescent="0.25">
      <c r="B71" t="s">
        <v>128</v>
      </c>
      <c r="C71" s="10" t="s">
        <v>74</v>
      </c>
      <c r="D71" s="21">
        <v>700</v>
      </c>
      <c r="E71" s="21">
        <v>1200</v>
      </c>
      <c r="F71" s="21">
        <v>3000</v>
      </c>
      <c r="G71" s="22">
        <f>CHOOSE($D$3,D71,E71,F71)</f>
        <v>1200</v>
      </c>
    </row>
    <row r="72" spans="2:7" x14ac:dyDescent="0.25">
      <c r="B72" t="s">
        <v>129</v>
      </c>
      <c r="C72" s="10" t="s">
        <v>74</v>
      </c>
      <c r="D72" s="21">
        <v>1200</v>
      </c>
      <c r="E72" s="21">
        <v>2000</v>
      </c>
      <c r="F72" s="21">
        <v>5000</v>
      </c>
      <c r="G72" s="22">
        <f>CHOOSE($D$3,D72,E72,F72)</f>
        <v>2000</v>
      </c>
    </row>
  </sheetData>
  <mergeCells count="5">
    <mergeCell ref="B6:G6"/>
    <mergeCell ref="B15:G15"/>
    <mergeCell ref="B20:G20"/>
    <mergeCell ref="B26:G26"/>
    <mergeCell ref="B32:G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G6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" customWidth="1"/>
    <col min="2" max="2" width="44" customWidth="1"/>
    <col min="3" max="7" width="15" customWidth="1"/>
  </cols>
  <sheetData>
    <row r="1" spans="2:2" x14ac:dyDescent="0.25">
      <c r="B1" s="1" t="s">
        <v>130</v>
      </c>
    </row>
    <row r="2" spans="2:2" x14ac:dyDescent="0.25">
      <c r="B2" s="27" t="str">
        <f>"Active scenario: "&amp;CHOOSE(Assumptions!$D$3,"CONSERVATIVE","BASE","AGGRESSIVE")</f>
        <v>Active scenario: BASE</v>
      </c>
    </row>
    <row r="4" spans="1:7" s="7" customFormat="1" x14ac:dyDescent="0.25">
      <c r="A4" s="7"/>
      <c r="B4" s="8" t="s">
        <v>1</v>
      </c>
      <c r="C4" s="8" t="s">
        <v>131</v>
      </c>
      <c r="D4" s="8" t="s">
        <v>132</v>
      </c>
      <c r="E4" s="8" t="s">
        <v>133</v>
      </c>
      <c r="F4" s="8" t="s">
        <v>134</v>
      </c>
      <c r="G4" s="8" t="s">
        <v>135</v>
      </c>
    </row>
    <row r="5" spans="2:7" x14ac:dyDescent="0.25">
      <c r="B5" s="9" t="s">
        <v>136</v>
      </c>
      <c r="C5" s="9"/>
      <c r="D5" s="9"/>
      <c r="E5" s="9"/>
      <c r="F5" s="9"/>
      <c r="G5" s="9"/>
    </row>
    <row r="6" spans="2:7" x14ac:dyDescent="0.25">
      <c r="B6" t="s">
        <v>137</v>
      </c>
      <c r="C6" s="28">
        <f>Assumptions!$G$58</f>
        <v>500</v>
      </c>
      <c r="D6" s="28">
        <f>Assumptions!$G$59</f>
        <v>1200</v>
      </c>
      <c r="E6" s="28">
        <f>Assumptions!$G$60</f>
        <v>2800</v>
      </c>
      <c r="F6" s="28">
        <f>Assumptions!$G$61</f>
        <v>5000</v>
      </c>
      <c r="G6" s="28">
        <f>Assumptions!$G$62</f>
        <v>8000</v>
      </c>
    </row>
    <row r="7" spans="2:7" x14ac:dyDescent="0.25">
      <c r="B7" t="s">
        <v>138</v>
      </c>
      <c r="C7" s="28">
        <f>SUM($C$6:C6)*Assumptions!$G$21</f>
        <v>275</v>
      </c>
      <c r="D7" s="28">
        <f>SUM($C$6:D6)*Assumptions!$G$21</f>
        <v>935.0000000000001</v>
      </c>
      <c r="E7" s="28">
        <f>SUM($C$6:E6)*Assumptions!$G$21</f>
        <v>2475</v>
      </c>
      <c r="F7" s="28">
        <f>SUM($C$6:F6)*Assumptions!$G$21</f>
        <v>5225</v>
      </c>
      <c r="G7" s="28">
        <f>SUM($C$6:G6)*Assumptions!$G$21</f>
        <v>9625</v>
      </c>
    </row>
    <row r="8" spans="2:7" x14ac:dyDescent="0.25">
      <c r="B8" t="s">
        <v>139</v>
      </c>
      <c r="C8" s="28">
        <f>C7*Assumptions!$G$22</f>
        <v>962.5</v>
      </c>
      <c r="D8" s="28">
        <f>D7*Assumptions!$G$22</f>
        <v>3272.5000000000005</v>
      </c>
      <c r="E8" s="28">
        <f>E7*Assumptions!$G$22</f>
        <v>8662.5</v>
      </c>
      <c r="F8" s="28">
        <f>F7*Assumptions!$G$22</f>
        <v>18287.5</v>
      </c>
      <c r="G8" s="28">
        <f>G7*Assumptions!$G$22</f>
        <v>33687.5</v>
      </c>
    </row>
    <row r="9" spans="2:7" x14ac:dyDescent="0.25">
      <c r="B9" s="4" t="s">
        <v>140</v>
      </c>
      <c r="C9" s="29">
        <f>SUM($C$8:C8)</f>
        <v>962.5</v>
      </c>
      <c r="D9" s="29">
        <f>SUM($C$8:D8)</f>
        <v>4235</v>
      </c>
      <c r="E9" s="29">
        <f>SUM($C$8:E8)</f>
        <v>12897.5</v>
      </c>
      <c r="F9" s="29">
        <f>SUM($C$8:F8)</f>
        <v>31185</v>
      </c>
      <c r="G9" s="29">
        <f>SUM($C$8:G8)</f>
        <v>64872.5</v>
      </c>
    </row>
    <row r="10" spans="2:7" x14ac:dyDescent="0.25">
      <c r="B10" s="9" t="s">
        <v>141</v>
      </c>
      <c r="C10" s="9"/>
      <c r="D10" s="9"/>
      <c r="E10" s="9"/>
      <c r="F10" s="9"/>
      <c r="G10" s="9"/>
    </row>
    <row r="11" spans="2:7" x14ac:dyDescent="0.25">
      <c r="B11" t="s">
        <v>142</v>
      </c>
      <c r="C11" s="28">
        <f>Assumptions!$G$33*1000</f>
        <v>30000</v>
      </c>
      <c r="D11" s="28">
        <f>Assumptions!$G$34*1000</f>
        <v>120000</v>
      </c>
      <c r="E11" s="28">
        <f>Assumptions!$G$35*1000</f>
        <v>400000</v>
      </c>
      <c r="F11" s="28">
        <f>Assumptions!$G$36*1000</f>
        <v>1000000</v>
      </c>
      <c r="G11" s="28">
        <f>Assumptions!$G$37*1000</f>
        <v>2000000</v>
      </c>
    </row>
    <row r="12" spans="2:7" x14ac:dyDescent="0.25">
      <c r="B12" t="s">
        <v>143</v>
      </c>
      <c r="C12" s="28">
        <f>Assumptions!$G$38*1000</f>
        <v>2500</v>
      </c>
      <c r="D12" s="28">
        <f>Assumptions!$G$39*1000</f>
        <v>12000</v>
      </c>
      <c r="E12" s="28">
        <f>Assumptions!$G$40*1000</f>
        <v>40000</v>
      </c>
      <c r="F12" s="28">
        <f>Assumptions!$G$41*1000</f>
        <v>95000</v>
      </c>
      <c r="G12" s="28">
        <f>Assumptions!$G$42*1000</f>
        <v>190000</v>
      </c>
    </row>
    <row r="13" spans="2:7" x14ac:dyDescent="0.25">
      <c r="B13" t="s">
        <v>144</v>
      </c>
      <c r="C13" s="30">
        <f>Assumptions!$G$43</f>
        <v>0.08</v>
      </c>
      <c r="D13" s="30">
        <f>Assumptions!$G$44</f>
        <v>0.07</v>
      </c>
      <c r="E13" s="30">
        <f>Assumptions!$G$45</f>
        <v>0.065</v>
      </c>
      <c r="F13" s="30">
        <f>Assumptions!$G$46</f>
        <v>0.06</v>
      </c>
      <c r="G13" s="30">
        <f>Assumptions!$G$47</f>
        <v>0.055</v>
      </c>
    </row>
    <row r="14" spans="2:7" x14ac:dyDescent="0.25">
      <c r="B14" s="4" t="s">
        <v>145</v>
      </c>
      <c r="C14" s="29">
        <f>C12*(1-C13)^6</f>
        <v>1515.8875033600002</v>
      </c>
      <c r="D14" s="29">
        <f>C14*(1-D13)^12+D12*(1-D13)^6</f>
        <v>8398.427097689739</v>
      </c>
      <c r="E14" s="29">
        <f>D14*(1-E13)^12+E12*(1-E13)^6</f>
        <v>30474.923516315925</v>
      </c>
      <c r="F14" s="29">
        <f>E14*(1-F13)^12+F12*(1-F13)^6</f>
        <v>80041.26439414534</v>
      </c>
      <c r="G14" s="29">
        <f>F14*(1-G13)^12+G12*(1-G13)^6</f>
        <v>175911.69479510508</v>
      </c>
    </row>
    <row r="15" spans="2:7" x14ac:dyDescent="0.25">
      <c r="B15" t="s">
        <v>146</v>
      </c>
      <c r="C15" s="28">
        <f>C14/2</f>
        <v>757.9437516800001</v>
      </c>
      <c r="D15" s="28">
        <f>(C14+D14)/2</f>
        <v>4957.157300524869</v>
      </c>
      <c r="E15" s="28">
        <f>(D14+E14)/2</f>
        <v>19436.67530700283</v>
      </c>
      <c r="F15" s="28">
        <f>(E14+F14)/2</f>
        <v>55258.09395523064</v>
      </c>
      <c r="G15" s="28">
        <f>(F14+G14)/2</f>
        <v>127976.47959462521</v>
      </c>
    </row>
    <row r="16" spans="2:7" x14ac:dyDescent="0.25">
      <c r="B16" s="9" t="s">
        <v>147</v>
      </c>
      <c r="C16" s="9"/>
      <c r="D16" s="9"/>
      <c r="E16" s="9"/>
      <c r="F16" s="9"/>
      <c r="G16" s="9"/>
    </row>
    <row r="17" spans="2:7" x14ac:dyDescent="0.25">
      <c r="B17" t="s">
        <v>148</v>
      </c>
      <c r="C17" s="31">
        <f>C15*Assumptions!$G$8*12</f>
        <v>72671.64691107841</v>
      </c>
      <c r="D17" s="31">
        <f>D15*Assumptions!$G$8*12</f>
        <v>475292.24197432445</v>
      </c>
      <c r="E17" s="31">
        <f>E15*Assumptions!$G$8*12</f>
        <v>1863588.4284354313</v>
      </c>
      <c r="F17" s="31">
        <f>F15*Assumptions!$G$8*12</f>
        <v>5298146.048427514</v>
      </c>
      <c r="G17" s="31">
        <f>G15*Assumptions!$G$8*12</f>
        <v>12270384.863532666</v>
      </c>
    </row>
    <row r="18" spans="2:7" x14ac:dyDescent="0.25">
      <c r="B18" t="s">
        <v>149</v>
      </c>
      <c r="C18" s="28">
        <f>C11*Assumptions!$G$14*Assumptions!$G$48</f>
        <v>7200</v>
      </c>
      <c r="D18" s="28">
        <f>D11*Assumptions!$G$14*Assumptions!$G$49</f>
        <v>33600</v>
      </c>
      <c r="E18" s="28">
        <f>E11*Assumptions!$G$14*Assumptions!$G$50</f>
        <v>128000</v>
      </c>
      <c r="F18" s="28">
        <f>F11*Assumptions!$G$14*Assumptions!$G$51</f>
        <v>360000</v>
      </c>
      <c r="G18" s="28">
        <f>G11*Assumptions!$G$14*Assumptions!$G$52</f>
        <v>800000</v>
      </c>
    </row>
    <row r="19" spans="2:7" x14ac:dyDescent="0.25">
      <c r="B19" t="s">
        <v>150</v>
      </c>
      <c r="C19" s="31">
        <f>C18*Assumptions!$G$7</f>
        <v>35928</v>
      </c>
      <c r="D19" s="31">
        <f>D18*Assumptions!$G$7</f>
        <v>167664</v>
      </c>
      <c r="E19" s="31">
        <f>E18*Assumptions!$G$7</f>
        <v>638720</v>
      </c>
      <c r="F19" s="31">
        <f>F18*Assumptions!$G$7</f>
        <v>1796400</v>
      </c>
      <c r="G19" s="31">
        <f>G18*Assumptions!$G$7</f>
        <v>3992000</v>
      </c>
    </row>
    <row r="20" spans="2:7" x14ac:dyDescent="0.25">
      <c r="B20" t="s">
        <v>151</v>
      </c>
      <c r="C20" s="13">
        <v>0</v>
      </c>
      <c r="D20" s="13">
        <v>0</v>
      </c>
      <c r="E20" s="13">
        <v>0.25</v>
      </c>
      <c r="F20" s="13">
        <v>0.6</v>
      </c>
      <c r="G20" s="13">
        <v>1</v>
      </c>
    </row>
    <row r="21" spans="2:7" x14ac:dyDescent="0.25">
      <c r="B21" t="s">
        <v>152</v>
      </c>
      <c r="C21" s="31">
        <f>C11*Assumptions!$G$12*C20</f>
        <v>0</v>
      </c>
      <c r="D21" s="31">
        <f>D11*Assumptions!$G$12*D20</f>
        <v>0</v>
      </c>
      <c r="E21" s="31">
        <f>E11*Assumptions!$G$12*E20</f>
        <v>240000</v>
      </c>
      <c r="F21" s="31">
        <f>F11*Assumptions!$G$12*F20</f>
        <v>1440000</v>
      </c>
      <c r="G21" s="31">
        <f>G11*Assumptions!$G$12*G20</f>
        <v>4800000</v>
      </c>
    </row>
    <row r="22" spans="2:7" x14ac:dyDescent="0.25">
      <c r="B22" t="s">
        <v>153</v>
      </c>
      <c r="C22" s="31">
        <f>C7*Assumptions!$G$13</f>
        <v>8250</v>
      </c>
      <c r="D22" s="31">
        <f>D7*Assumptions!$G$13</f>
        <v>28050.000000000004</v>
      </c>
      <c r="E22" s="31">
        <f>E7*Assumptions!$G$13</f>
        <v>74250</v>
      </c>
      <c r="F22" s="31">
        <f>F7*Assumptions!$G$13</f>
        <v>156750</v>
      </c>
      <c r="G22" s="31">
        <f>G7*Assumptions!$G$13</f>
        <v>288750</v>
      </c>
    </row>
    <row r="23" spans="2:7" x14ac:dyDescent="0.25">
      <c r="B23" s="4" t="s">
        <v>154</v>
      </c>
      <c r="C23" s="32">
        <f>C17+C19+C21+C22</f>
        <v>116849.64691107841</v>
      </c>
      <c r="D23" s="32">
        <f>D17+D19+D21+D22</f>
        <v>671006.2419743245</v>
      </c>
      <c r="E23" s="32">
        <f>E17+E19+E21+E22</f>
        <v>2816558.4284354313</v>
      </c>
      <c r="F23" s="32">
        <f>F17+F19+F21+F22</f>
        <v>8691296.048427515</v>
      </c>
      <c r="G23" s="32">
        <f>G17+G19+G21+G22</f>
        <v>21351134.863532666</v>
      </c>
    </row>
    <row r="24" spans="2:7" x14ac:dyDescent="0.25">
      <c r="B24" s="9" t="s">
        <v>155</v>
      </c>
      <c r="C24" s="9"/>
      <c r="D24" s="9"/>
      <c r="E24" s="9"/>
      <c r="F24" s="9"/>
      <c r="G24" s="9"/>
    </row>
    <row r="25" spans="2:7" x14ac:dyDescent="0.25">
      <c r="B25" t="s">
        <v>156</v>
      </c>
      <c r="C25" s="31">
        <f>C19*Assumptions!$G$9</f>
        <v>12934.08</v>
      </c>
      <c r="D25" s="31">
        <f>D19*Assumptions!$G$9</f>
        <v>60359.04</v>
      </c>
      <c r="E25" s="31">
        <f>E19*Assumptions!$G$9</f>
        <v>229939.19999999998</v>
      </c>
      <c r="F25" s="31">
        <f>F19*Assumptions!$G$9</f>
        <v>646704</v>
      </c>
      <c r="G25" s="31">
        <f>G19*Assumptions!$G$9</f>
        <v>1437120</v>
      </c>
    </row>
    <row r="26" spans="2:7" x14ac:dyDescent="0.25">
      <c r="B26" t="s">
        <v>157</v>
      </c>
      <c r="C26" s="31">
        <f>C17*Assumptions!$G$10</f>
        <v>32702.241109985283</v>
      </c>
      <c r="D26" s="31">
        <f>D17*Assumptions!$G$10</f>
        <v>213881.508888446</v>
      </c>
      <c r="E26" s="31">
        <f>E17*Assumptions!$G$10</f>
        <v>838614.7927959441</v>
      </c>
      <c r="F26" s="31">
        <f>F17*Assumptions!$G$10</f>
        <v>2384165.7217923813</v>
      </c>
      <c r="G26" s="31">
        <f>G17*Assumptions!$G$10</f>
        <v>5521673.1885897</v>
      </c>
    </row>
    <row r="27" spans="2:7" x14ac:dyDescent="0.25">
      <c r="B27" s="4" t="s">
        <v>158</v>
      </c>
      <c r="C27" s="32">
        <f>C25+C26</f>
        <v>45636.321109985285</v>
      </c>
      <c r="D27" s="32">
        <f>D25+D26</f>
        <v>274240.548888446</v>
      </c>
      <c r="E27" s="32">
        <f>E25+E26</f>
        <v>1068553.9927959442</v>
      </c>
      <c r="F27" s="32">
        <f>F25+F26</f>
        <v>3030869.7217923813</v>
      </c>
      <c r="G27" s="32">
        <f>G25+G26</f>
        <v>6958793.1885897</v>
      </c>
    </row>
    <row r="28" spans="2:7" x14ac:dyDescent="0.25">
      <c r="B28" s="4" t="s">
        <v>159</v>
      </c>
      <c r="C28" s="32">
        <f>C23-C27</f>
        <v>71213.32580109313</v>
      </c>
      <c r="D28" s="32">
        <f>D23-D27</f>
        <v>396765.69308587845</v>
      </c>
      <c r="E28" s="32">
        <f>E23-E27</f>
        <v>1748004.435639487</v>
      </c>
      <c r="F28" s="32">
        <f>F23-F27</f>
        <v>5660426.3266351335</v>
      </c>
      <c r="G28" s="32">
        <f>G23-G27</f>
        <v>14392341.674942967</v>
      </c>
    </row>
    <row r="29" spans="2:7" x14ac:dyDescent="0.25">
      <c r="B29" t="s">
        <v>160</v>
      </c>
      <c r="C29" s="33" t="str">
        <f>""</f>
        <v/>
      </c>
      <c r="D29" s="33">
        <f>D28/C28-1</f>
        <v>4.571509104828075</v>
      </c>
      <c r="E29" s="33">
        <f>E28/D28-1</f>
        <v>3.4056340205329647</v>
      </c>
      <c r="F29" s="33">
        <f>F28/E28-1</f>
        <v>2.238221946824942</v>
      </c>
      <c r="G29" s="33">
        <f>G28/F28-1</f>
        <v>1.5426250328919235</v>
      </c>
    </row>
    <row r="30" spans="2:7" x14ac:dyDescent="0.25">
      <c r="B30" s="9" t="s">
        <v>161</v>
      </c>
      <c r="C30" s="9"/>
      <c r="D30" s="9"/>
      <c r="E30" s="9"/>
      <c r="F30" s="9"/>
      <c r="G30" s="9"/>
    </row>
    <row r="31" spans="2:7" x14ac:dyDescent="0.25">
      <c r="B31" t="s">
        <v>162</v>
      </c>
      <c r="C31" s="31">
        <f>C23*Assumptions!$G$11</f>
        <v>5258.234110998528</v>
      </c>
      <c r="D31" s="31">
        <f>D23*Assumptions!$G$11</f>
        <v>30195.280888844598</v>
      </c>
      <c r="E31" s="31">
        <f>E23*Assumptions!$G$11</f>
        <v>126745.1292795944</v>
      </c>
      <c r="F31" s="31">
        <f>F23*Assumptions!$G$11</f>
        <v>391108.32217923814</v>
      </c>
      <c r="G31" s="31">
        <f>G23*Assumptions!$G$11</f>
        <v>960801.06885897</v>
      </c>
    </row>
    <row r="32" spans="2:7" x14ac:dyDescent="0.25">
      <c r="B32" t="s">
        <v>163</v>
      </c>
      <c r="C32" s="31">
        <f>C15*Assumptions!$G$18*12*Assumptions!$G$19+C18*2*Assumptions!$G$19</f>
        <v>4214.130008064</v>
      </c>
      <c r="D32" s="31">
        <f>D15*Assumptions!$G$18*12*Assumptions!$G$19+D18*2*Assumptions!$G$19</f>
        <v>26482.355042519375</v>
      </c>
      <c r="E32" s="31">
        <f>E15*Assumptions!$G$18*12*Assumptions!$G$19+E18*2*Assumptions!$G$19</f>
        <v>103536.0414736136</v>
      </c>
      <c r="F32" s="31">
        <f>F15*Assumptions!$G$18*12*Assumptions!$G$19+F18*2*Assumptions!$G$19</f>
        <v>294038.85098510707</v>
      </c>
      <c r="G32" s="31">
        <f>G15*Assumptions!$G$18*12*Assumptions!$G$19+G18*2*Assumptions!$G$19</f>
        <v>678287.102054201</v>
      </c>
    </row>
    <row r="33" spans="2:7" x14ac:dyDescent="0.25">
      <c r="B33" t="s">
        <v>164</v>
      </c>
      <c r="C33" s="31">
        <f>C9*Assumptions!$G$25</f>
        <v>3850</v>
      </c>
      <c r="D33" s="31">
        <f>D9*Assumptions!$G$25</f>
        <v>16940</v>
      </c>
      <c r="E33" s="31">
        <f>E9*Assumptions!$G$25</f>
        <v>51590</v>
      </c>
      <c r="F33" s="31">
        <f>F9*Assumptions!$G$25</f>
        <v>124740</v>
      </c>
      <c r="G33" s="31">
        <f>G9*Assumptions!$G$25</f>
        <v>259490</v>
      </c>
    </row>
    <row r="34" spans="2:7" x14ac:dyDescent="0.25">
      <c r="B34" t="s">
        <v>165</v>
      </c>
      <c r="C34" s="31">
        <f>C8*Assumptions!$G$24</f>
        <v>7700</v>
      </c>
      <c r="D34" s="31">
        <f>D8*Assumptions!$G$24</f>
        <v>26180.000000000004</v>
      </c>
      <c r="E34" s="31">
        <f>E8*Assumptions!$G$24</f>
        <v>69300</v>
      </c>
      <c r="F34" s="31">
        <f>F8*Assumptions!$G$24</f>
        <v>146300</v>
      </c>
      <c r="G34" s="31">
        <f>G8*Assumptions!$G$24</f>
        <v>269500</v>
      </c>
    </row>
    <row r="35" spans="2:7" x14ac:dyDescent="0.25">
      <c r="B35" s="4" t="s">
        <v>166</v>
      </c>
      <c r="C35" s="32">
        <f>C31+C32+C33+C34</f>
        <v>21022.364119062528</v>
      </c>
      <c r="D35" s="32">
        <f>D31+D32+D33+D34</f>
        <v>99797.63593136397</v>
      </c>
      <c r="E35" s="32">
        <f>E31+E32+E33+E34</f>
        <v>351171.170753208</v>
      </c>
      <c r="F35" s="32">
        <f>F31+F32+F33+F34</f>
        <v>956187.1731643452</v>
      </c>
      <c r="G35" s="32">
        <f>G31+G32+G33+G34</f>
        <v>2168078.170913171</v>
      </c>
    </row>
    <row r="36" spans="2:7" x14ac:dyDescent="0.25">
      <c r="B36" s="4" t="s">
        <v>167</v>
      </c>
      <c r="C36" s="32">
        <f>C28-C35</f>
        <v>50190.961682030604</v>
      </c>
      <c r="D36" s="32">
        <f>D28-D35</f>
        <v>296968.0571545145</v>
      </c>
      <c r="E36" s="32">
        <f>E28-E35</f>
        <v>1396833.2648862791</v>
      </c>
      <c r="F36" s="32">
        <f>F28-F35</f>
        <v>4704239.153470788</v>
      </c>
      <c r="G36" s="32">
        <f>G28-G35</f>
        <v>12224263.504029796</v>
      </c>
    </row>
    <row r="37" spans="2:7" x14ac:dyDescent="0.25">
      <c r="B37" t="s">
        <v>168</v>
      </c>
      <c r="C37" s="33">
        <f>C36/C28</f>
        <v>0.7047973271494107</v>
      </c>
      <c r="D37" s="33">
        <f>D36/D28</f>
        <v>0.74847211422142</v>
      </c>
      <c r="E37" s="33">
        <f>E36/E28</f>
        <v>0.7991016706861295</v>
      </c>
      <c r="F37" s="33">
        <f>F36/F28</f>
        <v>0.8310750607838482</v>
      </c>
      <c r="G37" s="33">
        <f>G36/G28</f>
        <v>0.8493589007348408</v>
      </c>
    </row>
    <row r="38" spans="2:7" x14ac:dyDescent="0.25">
      <c r="B38" s="9" t="s">
        <v>169</v>
      </c>
      <c r="C38" s="9"/>
      <c r="D38" s="9"/>
      <c r="E38" s="9"/>
      <c r="F38" s="9"/>
      <c r="G38" s="9"/>
    </row>
    <row r="39" spans="2:7" x14ac:dyDescent="0.25">
      <c r="B39" t="s">
        <v>170</v>
      </c>
      <c r="C39" s="28">
        <f>Assumptions!$G$63</f>
        <v>6</v>
      </c>
      <c r="D39" s="28">
        <f>Assumptions!$G$64</f>
        <v>12</v>
      </c>
      <c r="E39" s="28">
        <f>Assumptions!$G$65</f>
        <v>22</v>
      </c>
      <c r="F39" s="28">
        <f>Assumptions!$G$66</f>
        <v>36</v>
      </c>
      <c r="G39" s="28">
        <f>Assumptions!$G$67</f>
        <v>48</v>
      </c>
    </row>
    <row r="40" spans="2:7" x14ac:dyDescent="0.25">
      <c r="B40" t="s">
        <v>171</v>
      </c>
      <c r="C40" s="31">
        <f>C39*Assumptions!$G$27*1000</f>
        <v>870000</v>
      </c>
      <c r="D40" s="31">
        <f>D39*Assumptions!$G$27*1000</f>
        <v>1740000</v>
      </c>
      <c r="E40" s="31">
        <f>E39*Assumptions!$G$27*1000</f>
        <v>3190000</v>
      </c>
      <c r="F40" s="31">
        <f>F39*Assumptions!$G$27*1000</f>
        <v>5220000</v>
      </c>
      <c r="G40" s="31">
        <f>G39*Assumptions!$G$27*1000</f>
        <v>6960000</v>
      </c>
    </row>
    <row r="41" spans="2:7" x14ac:dyDescent="0.25">
      <c r="B41" t="s">
        <v>172</v>
      </c>
      <c r="C41" s="31">
        <f>C6*Assumptions!$G$23</f>
        <v>20000</v>
      </c>
      <c r="D41" s="31">
        <f>D6*Assumptions!$G$23</f>
        <v>48000</v>
      </c>
      <c r="E41" s="31">
        <f>E6*Assumptions!$G$23</f>
        <v>112000</v>
      </c>
      <c r="F41" s="31">
        <f>F6*Assumptions!$G$23</f>
        <v>200000</v>
      </c>
      <c r="G41" s="31">
        <f>G6*Assumptions!$G$23</f>
        <v>320000</v>
      </c>
    </row>
    <row r="42" spans="2:7" x14ac:dyDescent="0.25">
      <c r="B42" t="s">
        <v>173</v>
      </c>
      <c r="C42" s="31">
        <f>C12*Assumptions!$G$16*Assumptions!$G$17^0*Assumptions!$G$53</f>
        <v>50000</v>
      </c>
      <c r="D42" s="31">
        <f>D12*Assumptions!$G$16*Assumptions!$G$17^1*Assumptions!$G$54</f>
        <v>189000</v>
      </c>
      <c r="E42" s="31">
        <f>E12*Assumptions!$G$16*Assumptions!$G$17^2*Assumptions!$G$55</f>
        <v>486000</v>
      </c>
      <c r="F42" s="31">
        <f>F12*Assumptions!$G$16*Assumptions!$G$17^3*Assumptions!$G$56</f>
        <v>865687.5000000001</v>
      </c>
      <c r="G42" s="31">
        <f>G12*Assumptions!$G$16*Assumptions!$G$17^4*Assumptions!$G$57</f>
        <v>1246590</v>
      </c>
    </row>
    <row r="43" spans="2:7" x14ac:dyDescent="0.25">
      <c r="B43" t="s">
        <v>174</v>
      </c>
      <c r="C43" s="31">
        <f>Assumptions!$G$68*1000</f>
        <v>100000</v>
      </c>
      <c r="D43" s="31">
        <f>Assumptions!$G$69*1000</f>
        <v>250000</v>
      </c>
      <c r="E43" s="31">
        <f>Assumptions!$G$70*1000</f>
        <v>600000</v>
      </c>
      <c r="F43" s="31">
        <f>Assumptions!$G$71*1000</f>
        <v>1200000</v>
      </c>
      <c r="G43" s="31">
        <f>Assumptions!$G$72*1000</f>
        <v>2000000</v>
      </c>
    </row>
    <row r="44" spans="2:7" x14ac:dyDescent="0.25">
      <c r="B44" s="4" t="s">
        <v>175</v>
      </c>
      <c r="C44" s="32">
        <f>C41+C42+C43</f>
        <v>170000</v>
      </c>
      <c r="D44" s="32">
        <f>D41+D42+D43</f>
        <v>487000</v>
      </c>
      <c r="E44" s="32">
        <f>E41+E42+E43</f>
        <v>1198000</v>
      </c>
      <c r="F44" s="32">
        <f>F41+F42+F43</f>
        <v>2265687.5</v>
      </c>
      <c r="G44" s="32">
        <f>G41+G42+G43</f>
        <v>3566590</v>
      </c>
    </row>
    <row r="45" spans="2:7" x14ac:dyDescent="0.25">
      <c r="B45" t="s">
        <v>176</v>
      </c>
      <c r="C45" s="31">
        <f>Assumptions!$G$28*1000*1</f>
        <v>120000</v>
      </c>
      <c r="D45" s="31">
        <f>Assumptions!$G$28*1000*1.3</f>
        <v>156000</v>
      </c>
      <c r="E45" s="31">
        <f>Assumptions!$G$28*1000*1.7</f>
        <v>204000</v>
      </c>
      <c r="F45" s="31">
        <f>Assumptions!$G$28*1000*2.2</f>
        <v>264000</v>
      </c>
      <c r="G45" s="31">
        <f>Assumptions!$G$28*1000*2.8</f>
        <v>336000</v>
      </c>
    </row>
    <row r="46" spans="2:7" x14ac:dyDescent="0.25">
      <c r="B46" t="s">
        <v>177</v>
      </c>
      <c r="C46" s="31">
        <f>MAX(60000,C28*Assumptions!$G$29)</f>
        <v>60000</v>
      </c>
      <c r="D46" s="31">
        <f>MAX(60000,D28*Assumptions!$G$29)</f>
        <v>60000</v>
      </c>
      <c r="E46" s="31">
        <f>MAX(60000,E28*Assumptions!$G$29)</f>
        <v>87400.22178197437</v>
      </c>
      <c r="F46" s="31">
        <f>MAX(60000,F28*Assumptions!$G$29)</f>
        <v>283021.3163317567</v>
      </c>
      <c r="G46" s="31">
        <f>MAX(60000,G28*Assumptions!$G$29)</f>
        <v>719617.0837471484</v>
      </c>
    </row>
    <row r="47" spans="2:7" x14ac:dyDescent="0.25">
      <c r="B47" t="s">
        <v>178</v>
      </c>
      <c r="C47" s="31">
        <f>C40*Assumptions!$G$30</f>
        <v>104400</v>
      </c>
      <c r="D47" s="31">
        <f>D40*Assumptions!$G$30</f>
        <v>208800</v>
      </c>
      <c r="E47" s="31">
        <f>E40*Assumptions!$G$30</f>
        <v>382800</v>
      </c>
      <c r="F47" s="31">
        <f>F40*Assumptions!$G$30</f>
        <v>626400</v>
      </c>
      <c r="G47" s="31">
        <f>G40*Assumptions!$G$30</f>
        <v>835200</v>
      </c>
    </row>
    <row r="48" spans="2:7" x14ac:dyDescent="0.25">
      <c r="B48" s="4" t="s">
        <v>179</v>
      </c>
      <c r="C48" s="32">
        <f>C40+C44+C45+C46+C47</f>
        <v>1324400</v>
      </c>
      <c r="D48" s="32">
        <f>D40+D44+D45+D46+D47</f>
        <v>2651800</v>
      </c>
      <c r="E48" s="32">
        <f>E40+E44+E45+E46+E47</f>
        <v>5062200.221781975</v>
      </c>
      <c r="F48" s="32">
        <f>F40+F44+F45+F46+F47</f>
        <v>8659108.816331755</v>
      </c>
      <c r="G48" s="32">
        <f>G40+G44+G45+G46+G47</f>
        <v>12417407.083747149</v>
      </c>
    </row>
    <row r="49" spans="2:7" x14ac:dyDescent="0.25">
      <c r="B49" s="9" t="s">
        <v>180</v>
      </c>
      <c r="C49" s="9"/>
      <c r="D49" s="9"/>
      <c r="E49" s="9"/>
      <c r="F49" s="9"/>
      <c r="G49" s="9"/>
    </row>
    <row r="50" spans="2:7" x14ac:dyDescent="0.25">
      <c r="B50" s="4" t="s">
        <v>181</v>
      </c>
      <c r="C50" s="32">
        <f>C36-C48</f>
        <v>-1274209.0383179693</v>
      </c>
      <c r="D50" s="32">
        <f>D36-D48</f>
        <v>-2354831.9428454856</v>
      </c>
      <c r="E50" s="32">
        <f>E36-E48</f>
        <v>-3665366.9568956955</v>
      </c>
      <c r="F50" s="32">
        <f>F36-F48</f>
        <v>-3954869.662860967</v>
      </c>
      <c r="G50" s="32">
        <f>G36-G48</f>
        <v>-193143.579717353</v>
      </c>
    </row>
    <row r="51" spans="2:7" x14ac:dyDescent="0.25">
      <c r="B51" t="s">
        <v>182</v>
      </c>
      <c r="C51" s="33">
        <f>C50/C28</f>
        <v>-17.892845531143696</v>
      </c>
      <c r="D51" s="33">
        <f>D50/D28</f>
        <v>-5.935069447488221</v>
      </c>
      <c r="E51" s="33">
        <f>E50/E28</f>
        <v>-2.0968865308140727</v>
      </c>
      <c r="F51" s="33">
        <f>F50/F28</f>
        <v>-0.6986875960652168</v>
      </c>
      <c r="G51" s="33">
        <f>G50/G28</f>
        <v>-0.013419885664166485</v>
      </c>
    </row>
    <row r="52" spans="2:7" x14ac:dyDescent="0.25">
      <c r="B52" s="9" t="s">
        <v>183</v>
      </c>
      <c r="C52" s="9"/>
      <c r="D52" s="9"/>
      <c r="E52" s="9"/>
      <c r="F52" s="9"/>
      <c r="G52" s="9"/>
    </row>
    <row r="53" spans="2:7" x14ac:dyDescent="0.25">
      <c r="B53" t="s">
        <v>184</v>
      </c>
      <c r="C53" s="31">
        <f>Assumptions!$G$31*1000</f>
        <v>4000000</v>
      </c>
      <c r="D53" s="31">
        <f>C55</f>
        <v>2725790.961682031</v>
      </c>
      <c r="E53" s="31">
        <f>D55</f>
        <v>370959.0188365453</v>
      </c>
      <c r="F53" s="31">
        <f>E55</f>
        <v>5705592.061940849</v>
      </c>
      <c r="G53" s="31">
        <f>F55</f>
        <v>7750722.399079882</v>
      </c>
    </row>
    <row r="54" spans="2:7" x14ac:dyDescent="0.25">
      <c r="B54" t="s">
        <v>185</v>
      </c>
      <c r="C54" s="17">
        <v>0</v>
      </c>
      <c r="D54" s="17">
        <v>0</v>
      </c>
      <c r="E54" s="17">
        <v>9000000</v>
      </c>
      <c r="F54" s="17">
        <v>6000000</v>
      </c>
      <c r="G54" s="17">
        <v>0</v>
      </c>
    </row>
    <row r="55" spans="2:7" x14ac:dyDescent="0.25">
      <c r="B55" s="4" t="s">
        <v>186</v>
      </c>
      <c r="C55" s="32">
        <f>C53+C54+C50</f>
        <v>2725790.961682031</v>
      </c>
      <c r="D55" s="32">
        <f>D53+D54+D50</f>
        <v>370959.0188365453</v>
      </c>
      <c r="E55" s="32">
        <f>E53+E54+E50</f>
        <v>5705592.061940849</v>
      </c>
      <c r="F55" s="32">
        <f>F53+F54+F50</f>
        <v>7750722.399079882</v>
      </c>
      <c r="G55" s="32">
        <f>G53+G54+G50</f>
        <v>7557578.819362529</v>
      </c>
    </row>
    <row r="56" spans="2:7" x14ac:dyDescent="0.25">
      <c r="B56" t="s">
        <v>187</v>
      </c>
      <c r="C56" s="34">
        <f>IF(C50&lt;0,C55/(-C50/12),999)</f>
        <v>25.670428129565632</v>
      </c>
      <c r="D56" s="34">
        <f>IF(D50&lt;0,D55/(-D50/12),999)</f>
        <v>1.8903719390945228</v>
      </c>
      <c r="E56" s="34">
        <f>IF(E50&lt;0,E55/(-E50/12),999)</f>
        <v>18.6794679900964</v>
      </c>
      <c r="F56" s="34">
        <f>IF(F50&lt;0,F55/(-F50/12),999)</f>
        <v>23.517505434471328</v>
      </c>
      <c r="G56" s="34">
        <f>IF(G50&lt;0,G55/(-G50/12),999)</f>
        <v>469.5519569693583</v>
      </c>
    </row>
    <row r="57" spans="2:7" x14ac:dyDescent="0.25">
      <c r="B57" s="9" t="s">
        <v>188</v>
      </c>
      <c r="C57" s="9"/>
      <c r="D57" s="9"/>
      <c r="E57" s="9"/>
      <c r="F57" s="9"/>
      <c r="G57" s="9"/>
    </row>
    <row r="58" spans="2:7" x14ac:dyDescent="0.25">
      <c r="B58" t="s">
        <v>189</v>
      </c>
      <c r="C58" s="31">
        <f>C14*Assumptions!$G$8</f>
        <v>12111.941151846402</v>
      </c>
      <c r="D58" s="31">
        <f>D14*Assumptions!$G$8</f>
        <v>67103.43251054101</v>
      </c>
      <c r="E58" s="31">
        <f>E14*Assumptions!$G$8</f>
        <v>243494.63889536425</v>
      </c>
      <c r="F58" s="31">
        <f>F14*Assumptions!$G$8</f>
        <v>639529.7025092213</v>
      </c>
      <c r="G58" s="31">
        <f>G14*Assumptions!$G$8</f>
        <v>1405534.4414128896</v>
      </c>
    </row>
    <row r="59" spans="2:7" x14ac:dyDescent="0.25">
      <c r="B59" t="s">
        <v>190</v>
      </c>
      <c r="C59" s="31">
        <f>C58*12</f>
        <v>145343.29382215682</v>
      </c>
      <c r="D59" s="31">
        <f>D58*12</f>
        <v>805241.1901264922</v>
      </c>
      <c r="E59" s="31">
        <f>E58*12</f>
        <v>2921935.666744371</v>
      </c>
      <c r="F59" s="31">
        <f>F58*12</f>
        <v>7674356.430110656</v>
      </c>
      <c r="G59" s="31">
        <f>G58*12</f>
        <v>16866413.296954677</v>
      </c>
    </row>
    <row r="60" spans="2:7" x14ac:dyDescent="0.25">
      <c r="B60" t="s">
        <v>191</v>
      </c>
      <c r="C60" s="31">
        <f>C28/C7</f>
        <v>258.95754836761137</v>
      </c>
      <c r="D60" s="31">
        <f>D28/D7</f>
        <v>424.34833485120686</v>
      </c>
      <c r="E60" s="31">
        <f>E28/E7</f>
        <v>706.2644184401968</v>
      </c>
      <c r="F60" s="31">
        <f>F28/F7</f>
        <v>1083.335182131126</v>
      </c>
      <c r="G60" s="31">
        <f>G28/G7</f>
        <v>1495.3082259681005</v>
      </c>
    </row>
  </sheetData>
  <mergeCells count="9">
    <mergeCell ref="B5:G5"/>
    <mergeCell ref="B10:G10"/>
    <mergeCell ref="B16:G16"/>
    <mergeCell ref="B24:G24"/>
    <mergeCell ref="B30:G30"/>
    <mergeCell ref="B38:G38"/>
    <mergeCell ref="B49:G49"/>
    <mergeCell ref="B52:G52"/>
    <mergeCell ref="B57:G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G20"/>
  <sheetFormatPr defaultRowHeight="15" outlineLevelRow="0" outlineLevelCol="0" x14ac:dyDescent="55"/>
  <cols>
    <col min="1" max="1" width="2" customWidth="1"/>
    <col min="2" max="2" width="38" customWidth="1"/>
    <col min="3" max="6" width="18" customWidth="1"/>
    <col min="7" max="7" width="60" customWidth="1"/>
  </cols>
  <sheetData>
    <row r="1" spans="2:2" x14ac:dyDescent="0.25">
      <c r="B1" s="1" t="s">
        <v>192</v>
      </c>
    </row>
    <row r="3" spans="1:7" s="7" customFormat="1" x14ac:dyDescent="0.25">
      <c r="A3" s="7"/>
      <c r="B3" s="8" t="s">
        <v>193</v>
      </c>
      <c r="C3" s="8" t="s">
        <v>194</v>
      </c>
      <c r="D3" s="8" t="s">
        <v>195</v>
      </c>
      <c r="E3" s="8" t="s">
        <v>196</v>
      </c>
      <c r="F3" s="8" t="s">
        <v>1</v>
      </c>
      <c r="G3" s="8" t="s">
        <v>197</v>
      </c>
    </row>
    <row r="4" ht="38" customHeight="1" spans="1:7" x14ac:dyDescent="0.25">
      <c r="B4" s="35" t="s">
        <v>198</v>
      </c>
      <c r="C4" s="36" t="s">
        <v>199</v>
      </c>
      <c r="D4" s="36" t="s">
        <v>200</v>
      </c>
      <c r="E4" s="36" t="s">
        <v>201</v>
      </c>
      <c r="F4" s="36" t="s">
        <v>1</v>
      </c>
      <c r="G4" s="37" t="s">
        <v>202</v>
      </c>
    </row>
    <row r="5" ht="38" customHeight="1" spans="1:7" x14ac:dyDescent="0.25">
      <c r="B5" s="4" t="s">
        <v>203</v>
      </c>
      <c r="C5" t="s">
        <v>204</v>
      </c>
      <c r="D5" t="s">
        <v>205</v>
      </c>
      <c r="E5" t="s">
        <v>206</v>
      </c>
      <c r="F5" t="s">
        <v>1</v>
      </c>
      <c r="G5" s="38" t="s">
        <v>207</v>
      </c>
    </row>
    <row r="6" ht="38" customHeight="1" spans="1:7" x14ac:dyDescent="0.25">
      <c r="B6" s="35" t="s">
        <v>208</v>
      </c>
      <c r="C6" s="36" t="s">
        <v>209</v>
      </c>
      <c r="D6" s="36" t="s">
        <v>210</v>
      </c>
      <c r="E6" s="36" t="s">
        <v>211</v>
      </c>
      <c r="F6" s="36" t="s">
        <v>1</v>
      </c>
      <c r="G6" s="37" t="s">
        <v>212</v>
      </c>
    </row>
    <row r="7" ht="38" customHeight="1" spans="1:7" x14ac:dyDescent="0.25">
      <c r="B7" s="4" t="s">
        <v>213</v>
      </c>
      <c r="C7" t="s">
        <v>214</v>
      </c>
      <c r="D7" t="s">
        <v>215</v>
      </c>
      <c r="E7" t="s">
        <v>216</v>
      </c>
      <c r="F7" t="s">
        <v>1</v>
      </c>
      <c r="G7" s="38" t="s">
        <v>217</v>
      </c>
    </row>
    <row r="8" ht="38" customHeight="1" spans="1:7" x14ac:dyDescent="0.25">
      <c r="B8" s="35" t="s">
        <v>218</v>
      </c>
      <c r="C8" s="36" t="s">
        <v>219</v>
      </c>
      <c r="D8" s="36" t="s">
        <v>220</v>
      </c>
      <c r="E8" s="36" t="s">
        <v>221</v>
      </c>
      <c r="F8" s="36" t="s">
        <v>1</v>
      </c>
      <c r="G8" s="37" t="s">
        <v>222</v>
      </c>
    </row>
    <row r="10" spans="2:7" x14ac:dyDescent="0.25">
      <c r="B10" s="9" t="s">
        <v>223</v>
      </c>
      <c r="C10" s="9"/>
      <c r="D10" s="9"/>
      <c r="E10" s="9"/>
      <c r="F10" s="9"/>
      <c r="G10" s="9"/>
    </row>
    <row r="11" ht="42" customHeight="1" spans="2:7" x14ac:dyDescent="0.25">
      <c r="B11" s="4" t="s">
        <v>224</v>
      </c>
      <c r="C11" s="6" t="s">
        <v>225</v>
      </c>
      <c r="D11" s="2" t="s">
        <v>226</v>
      </c>
      <c r="E11" s="2"/>
      <c r="F11" s="2"/>
      <c r="G11" s="2"/>
    </row>
    <row r="12" ht="42" customHeight="1" spans="2:7" x14ac:dyDescent="0.25">
      <c r="B12" s="4" t="s">
        <v>227</v>
      </c>
      <c r="C12" s="6" t="s">
        <v>228</v>
      </c>
      <c r="D12" s="2" t="s">
        <v>229</v>
      </c>
      <c r="E12" s="2"/>
      <c r="F12" s="2"/>
      <c r="G12" s="2"/>
    </row>
    <row r="13" ht="42" customHeight="1" spans="2:7" x14ac:dyDescent="0.25">
      <c r="B13" s="4" t="s">
        <v>230</v>
      </c>
      <c r="C13" s="6" t="s">
        <v>231</v>
      </c>
      <c r="D13" s="2" t="s">
        <v>232</v>
      </c>
      <c r="E13" s="2"/>
      <c r="F13" s="2"/>
      <c r="G13" s="2"/>
    </row>
    <row r="15" spans="2:7" x14ac:dyDescent="0.25">
      <c r="B15" s="9" t="s">
        <v>233</v>
      </c>
      <c r="C15" s="9"/>
      <c r="D15" s="9"/>
      <c r="E15" s="9"/>
      <c r="F15" s="9"/>
      <c r="G15" s="9"/>
    </row>
    <row r="16" ht="30" customHeight="1" spans="2:7" x14ac:dyDescent="0.25">
      <c r="B16" s="2" t="s">
        <v>234</v>
      </c>
      <c r="C16" s="2"/>
      <c r="D16" s="2"/>
      <c r="E16" s="2"/>
      <c r="F16" s="2"/>
      <c r="G16" s="2"/>
    </row>
    <row r="17" ht="30" customHeight="1" spans="2:7" x14ac:dyDescent="0.25">
      <c r="B17" s="2" t="s">
        <v>235</v>
      </c>
      <c r="C17" s="2"/>
      <c r="D17" s="2"/>
      <c r="E17" s="2"/>
      <c r="F17" s="2"/>
      <c r="G17" s="2"/>
    </row>
    <row r="18" ht="30" customHeight="1" spans="2:7" x14ac:dyDescent="0.25">
      <c r="B18" s="2" t="s">
        <v>236</v>
      </c>
      <c r="C18" s="2"/>
      <c r="D18" s="2"/>
      <c r="E18" s="2"/>
      <c r="F18" s="2"/>
      <c r="G18" s="2"/>
    </row>
    <row r="19" ht="30" customHeight="1" spans="2:7" x14ac:dyDescent="0.25">
      <c r="B19" s="2" t="s">
        <v>237</v>
      </c>
      <c r="C19" s="2"/>
      <c r="D19" s="2"/>
      <c r="E19" s="2"/>
      <c r="F19" s="2"/>
      <c r="G19" s="2"/>
    </row>
    <row r="20" ht="30" customHeight="1" spans="2:7" x14ac:dyDescent="0.25">
      <c r="B20" s="2" t="s">
        <v>238</v>
      </c>
      <c r="C20" s="2"/>
      <c r="D20" s="2"/>
      <c r="E20" s="2"/>
      <c r="F20" s="2"/>
      <c r="G20" s="2"/>
    </row>
  </sheetData>
  <mergeCells count="10">
    <mergeCell ref="B10:G10"/>
    <mergeCell ref="D11:G11"/>
    <mergeCell ref="D12:G12"/>
    <mergeCell ref="D13:G13"/>
    <mergeCell ref="B15:G15"/>
    <mergeCell ref="B16:G16"/>
    <mergeCell ref="B17:G17"/>
    <mergeCell ref="B18:G18"/>
    <mergeCell ref="B19:G19"/>
    <mergeCell ref="B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F23"/>
  <sheetFormatPr defaultRowHeight="15" outlineLevelRow="0" outlineLevelCol="0" x14ac:dyDescent="55"/>
  <cols>
    <col min="1" max="1" width="2" customWidth="1"/>
    <col min="2" max="2" width="18" customWidth="1"/>
    <col min="3" max="3" width="16" customWidth="1"/>
    <col min="4" max="6" width="46" customWidth="1"/>
  </cols>
  <sheetData>
    <row r="1" spans="2:2" x14ac:dyDescent="0.25">
      <c r="B1" s="1" t="s">
        <v>239</v>
      </c>
    </row>
    <row r="3" spans="1:6" s="7" customFormat="1" x14ac:dyDescent="0.25">
      <c r="A3" s="7"/>
      <c r="B3" s="8" t="s">
        <v>240</v>
      </c>
      <c r="C3" s="8" t="s">
        <v>241</v>
      </c>
      <c r="D3" s="8" t="s">
        <v>242</v>
      </c>
      <c r="E3" s="8" t="s">
        <v>243</v>
      </c>
      <c r="F3" s="8" t="s">
        <v>244</v>
      </c>
    </row>
    <row r="4" ht="64" customHeight="1" spans="1:6" x14ac:dyDescent="0.25">
      <c r="B4" s="35" t="s">
        <v>245</v>
      </c>
      <c r="C4" s="39" t="s">
        <v>246</v>
      </c>
      <c r="D4" s="40" t="s">
        <v>247</v>
      </c>
      <c r="E4" s="40" t="s">
        <v>248</v>
      </c>
      <c r="F4" s="40" t="s">
        <v>249</v>
      </c>
    </row>
    <row r="5" ht="64" customHeight="1" spans="1:6" x14ac:dyDescent="0.25">
      <c r="B5" s="4" t="s">
        <v>250</v>
      </c>
      <c r="C5" s="10" t="s">
        <v>251</v>
      </c>
      <c r="D5" s="41" t="s">
        <v>252</v>
      </c>
      <c r="E5" s="41" t="s">
        <v>253</v>
      </c>
      <c r="F5" s="41" t="s">
        <v>254</v>
      </c>
    </row>
    <row r="6" ht="64" customHeight="1" spans="1:6" x14ac:dyDescent="0.25">
      <c r="B6" s="35" t="s">
        <v>255</v>
      </c>
      <c r="C6" s="39" t="s">
        <v>256</v>
      </c>
      <c r="D6" s="40" t="s">
        <v>257</v>
      </c>
      <c r="E6" s="40" t="s">
        <v>258</v>
      </c>
      <c r="F6" s="40" t="s">
        <v>259</v>
      </c>
    </row>
    <row r="7" ht="64" customHeight="1" spans="1:6" x14ac:dyDescent="0.25">
      <c r="B7" s="4" t="s">
        <v>260</v>
      </c>
      <c r="C7" s="10" t="s">
        <v>261</v>
      </c>
      <c r="D7" s="41" t="s">
        <v>262</v>
      </c>
      <c r="E7" s="41" t="s">
        <v>263</v>
      </c>
      <c r="F7" s="41" t="s">
        <v>264</v>
      </c>
    </row>
    <row r="8" ht="64" customHeight="1" spans="1:6" x14ac:dyDescent="0.25">
      <c r="B8" s="35" t="s">
        <v>265</v>
      </c>
      <c r="C8" s="39" t="s">
        <v>266</v>
      </c>
      <c r="D8" s="40" t="s">
        <v>267</v>
      </c>
      <c r="E8" s="40" t="s">
        <v>268</v>
      </c>
      <c r="F8" s="40" t="s">
        <v>269</v>
      </c>
    </row>
    <row r="9" ht="64" customHeight="1" spans="1:6" x14ac:dyDescent="0.25">
      <c r="B9" s="4" t="s">
        <v>270</v>
      </c>
      <c r="C9" s="10" t="s">
        <v>271</v>
      </c>
      <c r="D9" s="41" t="s">
        <v>272</v>
      </c>
      <c r="E9" s="41" t="s">
        <v>273</v>
      </c>
      <c r="F9" s="41" t="s">
        <v>274</v>
      </c>
    </row>
    <row r="10" ht="64" customHeight="1" spans="1:6" x14ac:dyDescent="0.25">
      <c r="B10" s="35" t="s">
        <v>275</v>
      </c>
      <c r="C10" s="39" t="s">
        <v>276</v>
      </c>
      <c r="D10" s="40" t="s">
        <v>277</v>
      </c>
      <c r="E10" s="40" t="s">
        <v>278</v>
      </c>
      <c r="F10" s="40" t="s">
        <v>279</v>
      </c>
    </row>
    <row r="11" ht="64" customHeight="1" spans="1:6" x14ac:dyDescent="0.25">
      <c r="B11" s="4" t="s">
        <v>280</v>
      </c>
      <c r="C11" s="10" t="s">
        <v>281</v>
      </c>
      <c r="D11" s="41" t="s">
        <v>282</v>
      </c>
      <c r="E11" s="41" t="s">
        <v>283</v>
      </c>
      <c r="F11" s="41" t="s">
        <v>284</v>
      </c>
    </row>
    <row r="12" ht="64" customHeight="1" spans="1:6" x14ac:dyDescent="0.25">
      <c r="B12" s="35" t="s">
        <v>285</v>
      </c>
      <c r="C12" s="39" t="s">
        <v>286</v>
      </c>
      <c r="D12" s="40" t="s">
        <v>287</v>
      </c>
      <c r="E12" s="40" t="s">
        <v>288</v>
      </c>
      <c r="F12" s="40" t="s">
        <v>289</v>
      </c>
    </row>
    <row r="13" ht="64" customHeight="1" spans="1:6" x14ac:dyDescent="0.25">
      <c r="B13" s="4" t="s">
        <v>290</v>
      </c>
      <c r="C13" s="10" t="s">
        <v>291</v>
      </c>
      <c r="D13" s="41" t="s">
        <v>292</v>
      </c>
      <c r="E13" s="41" t="s">
        <v>293</v>
      </c>
      <c r="F13" s="41" t="s">
        <v>294</v>
      </c>
    </row>
    <row r="14" ht="64" customHeight="1" spans="1:6" x14ac:dyDescent="0.25">
      <c r="B14" s="35" t="s">
        <v>295</v>
      </c>
      <c r="C14" s="39" t="s">
        <v>296</v>
      </c>
      <c r="D14" s="40" t="s">
        <v>297</v>
      </c>
      <c r="E14" s="40" t="s">
        <v>298</v>
      </c>
      <c r="F14" s="40" t="s">
        <v>299</v>
      </c>
    </row>
    <row r="16" spans="2:6" x14ac:dyDescent="0.25">
      <c r="B16" s="9" t="s">
        <v>300</v>
      </c>
      <c r="C16" s="9"/>
      <c r="D16" s="9"/>
      <c r="E16" s="9"/>
      <c r="F16" s="9"/>
    </row>
    <row r="17" spans="1:6" s="4" customFormat="1" x14ac:dyDescent="0.25">
      <c r="A17" s="4"/>
      <c r="B17" s="42" t="s">
        <v>301</v>
      </c>
      <c r="C17" s="42" t="s">
        <v>245</v>
      </c>
      <c r="D17" s="42" t="s">
        <v>250</v>
      </c>
      <c r="E17" s="42" t="s">
        <v>302</v>
      </c>
      <c r="F17" s="42" t="s">
        <v>303</v>
      </c>
    </row>
    <row r="18" ht="26" customHeight="1" spans="1:6" x14ac:dyDescent="0.25">
      <c r="B18" s="43" t="s">
        <v>304</v>
      </c>
      <c r="C18" s="36" t="s">
        <v>305</v>
      </c>
      <c r="D18" s="36" t="s">
        <v>305</v>
      </c>
      <c r="E18" s="36" t="s">
        <v>306</v>
      </c>
      <c r="F18" s="44" t="s">
        <v>307</v>
      </c>
    </row>
    <row r="19" ht="26" customHeight="1" spans="1:6" x14ac:dyDescent="0.25">
      <c r="B19" s="45" t="s">
        <v>308</v>
      </c>
      <c r="C19" t="s">
        <v>309</v>
      </c>
      <c r="D19" t="s">
        <v>307</v>
      </c>
      <c r="E19" t="s">
        <v>305</v>
      </c>
      <c r="F19" s="46" t="s">
        <v>307</v>
      </c>
    </row>
    <row r="20" ht="26" customHeight="1" spans="1:6" x14ac:dyDescent="0.25">
      <c r="B20" s="43" t="s">
        <v>310</v>
      </c>
      <c r="C20" s="36" t="s">
        <v>311</v>
      </c>
      <c r="D20" s="36" t="s">
        <v>305</v>
      </c>
      <c r="E20" s="36" t="s">
        <v>305</v>
      </c>
      <c r="F20" s="44" t="s">
        <v>307</v>
      </c>
    </row>
    <row r="21" ht="26" customHeight="1" spans="1:6" x14ac:dyDescent="0.25">
      <c r="B21" s="45" t="s">
        <v>312</v>
      </c>
      <c r="C21" t="s">
        <v>313</v>
      </c>
      <c r="D21" t="s">
        <v>314</v>
      </c>
      <c r="E21" t="s">
        <v>305</v>
      </c>
      <c r="F21" s="46" t="s">
        <v>315</v>
      </c>
    </row>
    <row r="22" ht="26" customHeight="1" spans="1:6" x14ac:dyDescent="0.25">
      <c r="B22" s="43" t="s">
        <v>316</v>
      </c>
      <c r="C22" s="36" t="s">
        <v>307</v>
      </c>
      <c r="D22" s="36" t="s">
        <v>305</v>
      </c>
      <c r="E22" s="36" t="s">
        <v>317</v>
      </c>
      <c r="F22" s="44" t="s">
        <v>318</v>
      </c>
    </row>
    <row r="23" ht="26" customHeight="1" spans="1:6" x14ac:dyDescent="0.25">
      <c r="B23" s="45" t="s">
        <v>319</v>
      </c>
      <c r="C23" t="s">
        <v>305</v>
      </c>
      <c r="D23" t="s">
        <v>305</v>
      </c>
      <c r="E23" t="s">
        <v>305</v>
      </c>
      <c r="F23" s="46" t="s">
        <v>307</v>
      </c>
    </row>
  </sheetData>
  <mergeCells count="1"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J23"/>
  <sheetFormatPr defaultRowHeight="15" outlineLevelRow="0" outlineLevelCol="0" x14ac:dyDescent="55"/>
  <cols>
    <col min="1" max="1" width="2" customWidth="1"/>
    <col min="2" max="2" width="34" customWidth="1"/>
    <col min="3" max="9" width="14" customWidth="1"/>
    <col min="10" max="10" width="50" customWidth="1"/>
  </cols>
  <sheetData>
    <row r="1" spans="2:2" x14ac:dyDescent="0.25">
      <c r="B1" s="1" t="s">
        <v>320</v>
      </c>
    </row>
    <row r="2" spans="2:2" x14ac:dyDescent="0.25">
      <c r="B2" s="47" t="s">
        <v>321</v>
      </c>
    </row>
    <row r="4" ht="28" customHeight="1" spans="1:10" s="48" customFormat="1" x14ac:dyDescent="0.25">
      <c r="A4" s="48"/>
      <c r="B4" s="49" t="s">
        <v>322</v>
      </c>
      <c r="C4" s="49" t="s">
        <v>323</v>
      </c>
      <c r="D4" s="49" t="s">
        <v>324</v>
      </c>
      <c r="E4" s="49" t="s">
        <v>325</v>
      </c>
      <c r="F4" s="49" t="s">
        <v>326</v>
      </c>
      <c r="G4" s="49" t="s">
        <v>327</v>
      </c>
      <c r="H4" s="49" t="s">
        <v>328</v>
      </c>
      <c r="I4" s="49" t="s">
        <v>329</v>
      </c>
      <c r="J4" s="49" t="s">
        <v>330</v>
      </c>
    </row>
    <row r="5" ht="30" customHeight="1" spans="2:10" x14ac:dyDescent="0.25">
      <c r="B5" s="41" t="s">
        <v>331</v>
      </c>
      <c r="C5" s="50">
        <v>350000</v>
      </c>
      <c r="D5" s="50">
        <v>18000</v>
      </c>
      <c r="E5" s="51">
        <v>0.05</v>
      </c>
      <c r="F5" s="51">
        <v>0.06</v>
      </c>
      <c r="G5" s="52">
        <v>18000</v>
      </c>
      <c r="H5" s="53">
        <f>D5*12*E5*F5</f>
        <v>648</v>
      </c>
      <c r="I5" s="54">
        <f>IF(H5&gt;0,G5/H5,"-")</f>
        <v>28</v>
      </c>
      <c r="J5" s="55" t="s">
        <v>332</v>
      </c>
    </row>
    <row r="6" ht="30" customHeight="1" spans="2:10" x14ac:dyDescent="0.25">
      <c r="B6" s="41" t="s">
        <v>333</v>
      </c>
      <c r="C6" s="50">
        <v>600000</v>
      </c>
      <c r="D6" s="50">
        <v>40000</v>
      </c>
      <c r="E6" s="51">
        <v>0.03</v>
      </c>
      <c r="F6" s="51">
        <v>0.05</v>
      </c>
      <c r="G6" s="52">
        <v>15000</v>
      </c>
      <c r="H6" s="53">
        <f>D6*12*E6*F6</f>
        <v>720</v>
      </c>
      <c r="I6" s="54">
        <f>IF(H6&gt;0,G6/H6,"-")</f>
        <v>21</v>
      </c>
      <c r="J6" s="55" t="s">
        <v>334</v>
      </c>
    </row>
    <row r="7" ht="30" customHeight="1" spans="2:10" x14ac:dyDescent="0.25">
      <c r="B7" s="41" t="s">
        <v>335</v>
      </c>
      <c r="C7" s="50">
        <v>450000</v>
      </c>
      <c r="D7" s="50">
        <v>25000</v>
      </c>
      <c r="E7" s="51">
        <v>0.04</v>
      </c>
      <c r="F7" s="51">
        <v>0.05</v>
      </c>
      <c r="G7" s="52">
        <v>12000</v>
      </c>
      <c r="H7" s="53">
        <f>D7*12*E7*F7</f>
        <v>600</v>
      </c>
      <c r="I7" s="54">
        <f>IF(H7&gt;0,G7/H7,"-")</f>
        <v>20</v>
      </c>
      <c r="J7" s="55" t="s">
        <v>336</v>
      </c>
    </row>
    <row r="8" ht="30" customHeight="1" spans="2:10" x14ac:dyDescent="0.25">
      <c r="B8" s="41" t="s">
        <v>337</v>
      </c>
      <c r="C8" s="50">
        <v>800000</v>
      </c>
      <c r="D8" s="50">
        <v>30000</v>
      </c>
      <c r="E8" s="51">
        <v>0.02</v>
      </c>
      <c r="F8" s="51">
        <v>0.04</v>
      </c>
      <c r="G8" s="52">
        <v>8000</v>
      </c>
      <c r="H8" s="53">
        <f>D8*12*E8*F8</f>
        <v>288</v>
      </c>
      <c r="I8" s="54">
        <f>IF(H8&gt;0,G8/H8,"-")</f>
        <v>28</v>
      </c>
      <c r="J8" s="55" t="s">
        <v>338</v>
      </c>
    </row>
    <row r="9" ht="30" customHeight="1" spans="2:10" x14ac:dyDescent="0.25">
      <c r="B9" s="41" t="s">
        <v>339</v>
      </c>
      <c r="C9" s="50">
        <v>500000</v>
      </c>
      <c r="D9" s="50">
        <v>35000</v>
      </c>
      <c r="E9" s="51">
        <v>0.04</v>
      </c>
      <c r="F9" s="51">
        <v>0.07</v>
      </c>
      <c r="G9" s="52">
        <v>10000</v>
      </c>
      <c r="H9" s="53">
        <f>D9*12*E9*F9</f>
        <v>1176</v>
      </c>
      <c r="I9" s="54">
        <f>IF(H9&gt;0,G9/H9,"-")</f>
        <v>9</v>
      </c>
      <c r="J9" s="55" t="s">
        <v>340</v>
      </c>
    </row>
    <row r="10" ht="30" customHeight="1" spans="2:10" x14ac:dyDescent="0.25">
      <c r="B10" s="41" t="s">
        <v>341</v>
      </c>
      <c r="C10" s="50">
        <v>2500000</v>
      </c>
      <c r="D10" s="50">
        <v>120000</v>
      </c>
      <c r="E10" s="51">
        <v>0.015</v>
      </c>
      <c r="F10" s="51">
        <v>0.04</v>
      </c>
      <c r="G10" s="52">
        <v>9000</v>
      </c>
      <c r="H10" s="53">
        <f>D10*12*E10*F10</f>
        <v>864</v>
      </c>
      <c r="I10" s="54">
        <f>IF(H10&gt;0,G10/H10,"-")</f>
        <v>10</v>
      </c>
      <c r="J10" s="55" t="s">
        <v>342</v>
      </c>
    </row>
    <row r="11" ht="30" customHeight="1" spans="2:10" x14ac:dyDescent="0.25">
      <c r="B11" s="41" t="s">
        <v>343</v>
      </c>
      <c r="C11" s="50">
        <v>400000</v>
      </c>
      <c r="D11" s="50">
        <v>60000</v>
      </c>
      <c r="E11" s="51">
        <v>0.03</v>
      </c>
      <c r="F11" s="51">
        <v>0.06</v>
      </c>
      <c r="G11" s="52">
        <v>7000</v>
      </c>
      <c r="H11" s="53">
        <f>D11*12*E11*F11</f>
        <v>1296</v>
      </c>
      <c r="I11" s="54">
        <f>IF(H11&gt;0,G11/H11,"-")</f>
        <v>5</v>
      </c>
      <c r="J11" s="55" t="s">
        <v>344</v>
      </c>
    </row>
    <row r="12" ht="30" customHeight="1" spans="2:10" x14ac:dyDescent="0.25">
      <c r="B12" s="41" t="s">
        <v>345</v>
      </c>
      <c r="C12" s="50">
        <v>1500000</v>
      </c>
      <c r="D12" s="50">
        <v>90000</v>
      </c>
      <c r="E12" s="51">
        <v>0.02</v>
      </c>
      <c r="F12" s="51">
        <v>0.04</v>
      </c>
      <c r="G12" s="52">
        <v>12000</v>
      </c>
      <c r="H12" s="53">
        <f>D12*12*E12*F12</f>
        <v>864</v>
      </c>
      <c r="I12" s="54">
        <f>IF(H12&gt;0,G12/H12,"-")</f>
        <v>14</v>
      </c>
      <c r="J12" s="55" t="s">
        <v>346</v>
      </c>
    </row>
    <row r="13" ht="30" customHeight="1" spans="2:10" x14ac:dyDescent="0.25">
      <c r="B13" s="41" t="s">
        <v>347</v>
      </c>
      <c r="C13" s="50">
        <v>600000</v>
      </c>
      <c r="D13" s="50">
        <v>25000</v>
      </c>
      <c r="E13" s="51">
        <v>0.015</v>
      </c>
      <c r="F13" s="51">
        <v>0.03</v>
      </c>
      <c r="G13" s="52">
        <v>5000</v>
      </c>
      <c r="H13" s="53">
        <f>D13*12*E13*F13</f>
        <v>135</v>
      </c>
      <c r="I13" s="54">
        <f>IF(H13&gt;0,G13/H13,"-")</f>
        <v>37</v>
      </c>
      <c r="J13" s="55" t="s">
        <v>348</v>
      </c>
    </row>
    <row r="14" ht="30" customHeight="1" spans="2:10" x14ac:dyDescent="0.25">
      <c r="B14" s="41" t="s">
        <v>349</v>
      </c>
      <c r="C14" s="50">
        <v>900000</v>
      </c>
      <c r="D14" s="50">
        <v>30000</v>
      </c>
      <c r="E14" s="51">
        <v>0.01</v>
      </c>
      <c r="F14" s="51">
        <v>0.03</v>
      </c>
      <c r="G14" s="52">
        <v>8000</v>
      </c>
      <c r="H14" s="53">
        <f>D14*12*E14*F14</f>
        <v>108</v>
      </c>
      <c r="I14" s="54">
        <f>IF(H14&gt;0,G14/H14,"-")</f>
        <v>74</v>
      </c>
      <c r="J14" s="55" t="s">
        <v>350</v>
      </c>
    </row>
    <row r="15" ht="30" customHeight="1" spans="2:10" x14ac:dyDescent="0.25">
      <c r="B15" s="41" t="s">
        <v>351</v>
      </c>
      <c r="C15" s="50">
        <v>3000000</v>
      </c>
      <c r="D15" s="50">
        <v>150000</v>
      </c>
      <c r="E15" s="51">
        <v>0.012</v>
      </c>
      <c r="F15" s="51">
        <v>0.05</v>
      </c>
      <c r="G15" s="52">
        <v>36000</v>
      </c>
      <c r="H15" s="53">
        <f>D15*12*E15*F15</f>
        <v>1080</v>
      </c>
      <c r="I15" s="54">
        <f>IF(H15&gt;0,G15/H15,"-")</f>
        <v>33</v>
      </c>
      <c r="J15" s="55" t="s">
        <v>352</v>
      </c>
    </row>
    <row r="16" spans="2:10" x14ac:dyDescent="0.25">
      <c r="B16" s="42" t="s">
        <v>353</v>
      </c>
      <c r="C16" s="56"/>
      <c r="D16" s="56"/>
      <c r="E16" s="56"/>
      <c r="F16" s="56"/>
      <c r="G16" s="57">
        <f>SUM(G5:G15)</f>
        <v>140000</v>
      </c>
      <c r="H16" s="58">
        <f>SUM(H5:H15)</f>
        <v>7779</v>
      </c>
      <c r="I16" s="57">
        <f>G16/H16</f>
        <v>18</v>
      </c>
      <c r="J16" s="56"/>
    </row>
    <row r="18" spans="2:10" x14ac:dyDescent="0.25">
      <c r="B18" s="9" t="s">
        <v>354</v>
      </c>
      <c r="C18" s="9"/>
      <c r="D18" s="9"/>
      <c r="E18" s="9"/>
      <c r="F18" s="9"/>
      <c r="G18" s="9"/>
      <c r="H18" s="9"/>
      <c r="I18" s="9"/>
      <c r="J18" s="9"/>
    </row>
    <row r="19" ht="26" customHeight="1" spans="2:10" x14ac:dyDescent="0.25">
      <c r="B19" s="45" t="s">
        <v>355</v>
      </c>
      <c r="C19" s="45"/>
      <c r="D19" s="45"/>
      <c r="E19" s="45"/>
      <c r="F19" s="45"/>
      <c r="G19" s="45"/>
      <c r="H19" s="45"/>
      <c r="I19" s="45"/>
      <c r="J19" s="45"/>
    </row>
    <row r="20" ht="26" customHeight="1" spans="2:10" x14ac:dyDescent="0.25">
      <c r="B20" s="45" t="s">
        <v>356</v>
      </c>
      <c r="C20" s="45"/>
      <c r="D20" s="45"/>
      <c r="E20" s="45"/>
      <c r="F20" s="45"/>
      <c r="G20" s="45"/>
      <c r="H20" s="45"/>
      <c r="I20" s="45"/>
      <c r="J20" s="45"/>
    </row>
    <row r="21" ht="26" customHeight="1" spans="2:10" x14ac:dyDescent="0.25">
      <c r="B21" s="45" t="s">
        <v>357</v>
      </c>
      <c r="C21" s="45"/>
      <c r="D21" s="45"/>
      <c r="E21" s="45"/>
      <c r="F21" s="45"/>
      <c r="G21" s="45"/>
      <c r="H21" s="45"/>
      <c r="I21" s="45"/>
      <c r="J21" s="45"/>
    </row>
    <row r="22" ht="26" customHeight="1" spans="2:10" x14ac:dyDescent="0.25">
      <c r="B22" s="45" t="s">
        <v>358</v>
      </c>
      <c r="C22" s="45"/>
      <c r="D22" s="45"/>
      <c r="E22" s="45"/>
      <c r="F22" s="45"/>
      <c r="G22" s="45"/>
      <c r="H22" s="45"/>
      <c r="I22" s="45"/>
      <c r="J22" s="45"/>
    </row>
    <row r="23" ht="26" customHeight="1" spans="2:10" x14ac:dyDescent="0.25">
      <c r="B23" s="45" t="s">
        <v>359</v>
      </c>
      <c r="C23" s="45"/>
      <c r="D23" s="45"/>
      <c r="E23" s="45"/>
      <c r="F23" s="45"/>
      <c r="G23" s="45"/>
      <c r="H23" s="45"/>
      <c r="I23" s="45"/>
      <c r="J23" s="45"/>
    </row>
  </sheetData>
  <mergeCells count="6">
    <mergeCell ref="B18:J18"/>
    <mergeCell ref="B19:J19"/>
    <mergeCell ref="B20:J20"/>
    <mergeCell ref="B21:J21"/>
    <mergeCell ref="B22:J22"/>
    <mergeCell ref="B23:J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J23"/>
  <sheetFormatPr defaultRowHeight="15" outlineLevelRow="0" outlineLevelCol="0" x14ac:dyDescent="55"/>
  <cols>
    <col min="1" max="1" width="2" customWidth="1"/>
    <col min="2" max="2" width="26" customWidth="1"/>
    <col min="3" max="9" width="13" customWidth="1"/>
    <col min="10" max="10" width="52" customWidth="1"/>
  </cols>
  <sheetData>
    <row r="1" spans="2:2" x14ac:dyDescent="0.25">
      <c r="B1" s="1" t="s">
        <v>360</v>
      </c>
    </row>
    <row r="4" spans="1:10" s="48" customFormat="1" x14ac:dyDescent="0.25">
      <c r="A4" s="48"/>
      <c r="B4" s="49" t="s">
        <v>322</v>
      </c>
      <c r="C4" s="49" t="s">
        <v>361</v>
      </c>
      <c r="D4" s="49" t="s">
        <v>362</v>
      </c>
      <c r="E4" s="49" t="s">
        <v>363</v>
      </c>
      <c r="F4" s="49" t="s">
        <v>326</v>
      </c>
      <c r="G4" s="49" t="s">
        <v>364</v>
      </c>
      <c r="H4" s="49" t="s">
        <v>365</v>
      </c>
      <c r="I4" s="49" t="s">
        <v>329</v>
      </c>
      <c r="J4" s="49" t="s">
        <v>366</v>
      </c>
    </row>
    <row r="5" ht="30" customHeight="1" spans="2:10" x14ac:dyDescent="0.25">
      <c r="B5" s="59" t="s">
        <v>367</v>
      </c>
      <c r="C5" s="52">
        <v>60000</v>
      </c>
      <c r="H5" s="50">
        <v>1000</v>
      </c>
      <c r="I5" s="60">
        <f>C5/H5</f>
        <v>58</v>
      </c>
      <c r="J5" s="55" t="s">
        <v>368</v>
      </c>
    </row>
    <row r="6" ht="30" customHeight="1" spans="2:10" x14ac:dyDescent="0.25">
      <c r="B6" s="59" t="s">
        <v>369</v>
      </c>
      <c r="C6" s="52">
        <v>90000</v>
      </c>
      <c r="D6" s="61">
        <v>9</v>
      </c>
      <c r="E6" s="51">
        <v>0.012</v>
      </c>
      <c r="F6" s="62">
        <v>0.1</v>
      </c>
      <c r="G6" s="62">
        <v>0.1</v>
      </c>
      <c r="H6" s="53">
        <f>C6/D6*1000*E6*F6*G6</f>
        <v>1200</v>
      </c>
      <c r="I6" s="60">
        <f>IF(H6&gt;0,C6/H6,"-")</f>
        <v>75</v>
      </c>
      <c r="J6" s="55" t="s">
        <v>370</v>
      </c>
    </row>
    <row r="7" ht="30" customHeight="1" spans="2:10" x14ac:dyDescent="0.25">
      <c r="B7" s="59" t="s">
        <v>371</v>
      </c>
      <c r="C7" s="52">
        <v>60000</v>
      </c>
      <c r="D7" s="61">
        <v>6</v>
      </c>
      <c r="E7" s="51">
        <v>0.015</v>
      </c>
      <c r="F7" s="62">
        <v>0.08</v>
      </c>
      <c r="G7" s="62">
        <v>0.08</v>
      </c>
      <c r="H7" s="53">
        <f>C7/D7*1000*E7*F7*G7</f>
        <v>960</v>
      </c>
      <c r="I7" s="60">
        <f>IF(H7&gt;0,C7/H7,"-")</f>
        <v>63</v>
      </c>
      <c r="J7" s="55" t="s">
        <v>372</v>
      </c>
    </row>
    <row r="8" ht="30" customHeight="1" spans="2:10" x14ac:dyDescent="0.25">
      <c r="B8" s="59" t="s">
        <v>373</v>
      </c>
      <c r="C8" s="52">
        <v>80000</v>
      </c>
      <c r="D8" s="61">
        <v>12</v>
      </c>
      <c r="E8" s="51">
        <v>0.01</v>
      </c>
      <c r="F8" s="62">
        <v>0.12</v>
      </c>
      <c r="G8" s="62">
        <v>0.12</v>
      </c>
      <c r="H8" s="53">
        <f>C8/D8*1000*E8*F8*G8</f>
        <v>960</v>
      </c>
      <c r="I8" s="60">
        <f>IF(H8&gt;0,C8/H8,"-")</f>
        <v>83</v>
      </c>
      <c r="J8" s="55" t="s">
        <v>374</v>
      </c>
    </row>
    <row r="9" ht="30" customHeight="1" spans="2:10" x14ac:dyDescent="0.25">
      <c r="B9" s="59" t="s">
        <v>375</v>
      </c>
      <c r="C9" s="52">
        <v>20000</v>
      </c>
      <c r="D9" s="61">
        <v>4</v>
      </c>
      <c r="E9" s="51">
        <v>0.002</v>
      </c>
      <c r="F9" s="62">
        <v>0.05</v>
      </c>
      <c r="G9" s="62">
        <v>0.05</v>
      </c>
      <c r="H9" s="53">
        <f>C9/D9*1000*E9*F9*G9</f>
        <v>25</v>
      </c>
      <c r="I9" s="60">
        <f>IF(H9&gt;0,C9/H9,"-")</f>
        <v>800</v>
      </c>
      <c r="J9" s="55" t="s">
        <v>376</v>
      </c>
    </row>
    <row r="10" ht="30" customHeight="1" spans="2:10" x14ac:dyDescent="0.25">
      <c r="B10" s="59" t="s">
        <v>377</v>
      </c>
      <c r="C10" s="52">
        <v>30000</v>
      </c>
      <c r="D10" s="61">
        <v>7</v>
      </c>
      <c r="E10" s="51">
        <v>0.025</v>
      </c>
      <c r="F10" s="62">
        <v>0.18</v>
      </c>
      <c r="G10" s="62">
        <v>0.22</v>
      </c>
      <c r="H10" s="53">
        <f>C10/D10*1000*E10*F10*G10</f>
        <v>4243</v>
      </c>
      <c r="I10" s="60">
        <f>IF(H10&gt;0,C10/H10,"-")</f>
        <v>7</v>
      </c>
      <c r="J10" s="55" t="s">
        <v>378</v>
      </c>
    </row>
    <row r="11" ht="30" customHeight="1" spans="2:10" x14ac:dyDescent="0.25">
      <c r="B11" s="59" t="s">
        <v>379</v>
      </c>
      <c r="C11" s="52">
        <v>25000</v>
      </c>
      <c r="H11" s="63">
        <v>1400</v>
      </c>
      <c r="I11" s="60">
        <f>C11/H11</f>
        <v>18</v>
      </c>
      <c r="J11" s="55" t="s">
        <v>380</v>
      </c>
    </row>
    <row r="12" ht="30" customHeight="1" spans="2:10" x14ac:dyDescent="0.25">
      <c r="B12" s="59" t="s">
        <v>381</v>
      </c>
      <c r="C12" s="52">
        <v>30000</v>
      </c>
      <c r="H12" s="63">
        <v>1600</v>
      </c>
      <c r="I12" s="60">
        <f>C12/H12</f>
        <v>19</v>
      </c>
      <c r="J12" s="55" t="s">
        <v>382</v>
      </c>
    </row>
    <row r="13" ht="30" customHeight="1" spans="2:10" x14ac:dyDescent="0.25">
      <c r="B13" s="59" t="s">
        <v>383</v>
      </c>
      <c r="C13" s="52">
        <v>20000</v>
      </c>
      <c r="H13" s="63">
        <v>900</v>
      </c>
      <c r="I13" s="60">
        <f>C13/H13</f>
        <v>22</v>
      </c>
      <c r="J13" s="55" t="s">
        <v>384</v>
      </c>
    </row>
    <row r="14" ht="30" customHeight="1" spans="2:10" x14ac:dyDescent="0.25">
      <c r="B14" s="59" t="s">
        <v>385</v>
      </c>
      <c r="C14" s="52">
        <v>45000</v>
      </c>
      <c r="H14" s="63">
        <v>1500</v>
      </c>
      <c r="I14" s="60">
        <f>C14/H14</f>
        <v>30</v>
      </c>
      <c r="J14" s="55" t="s">
        <v>386</v>
      </c>
    </row>
    <row r="15" ht="30" customHeight="1" spans="2:10" x14ac:dyDescent="0.25">
      <c r="B15" s="59" t="s">
        <v>387</v>
      </c>
      <c r="C15" s="52">
        <v>15000</v>
      </c>
      <c r="H15" s="63">
        <v>2500</v>
      </c>
      <c r="I15" s="60">
        <f>C15/H15</f>
        <v>6</v>
      </c>
      <c r="J15" s="55" t="s">
        <v>388</v>
      </c>
    </row>
    <row r="16" ht="30" customHeight="1" spans="2:10" x14ac:dyDescent="0.25">
      <c r="B16" s="59" t="s">
        <v>389</v>
      </c>
      <c r="C16" s="52">
        <v>30000</v>
      </c>
      <c r="H16" s="63">
        <v>700</v>
      </c>
      <c r="I16" s="60">
        <f>C16/H16</f>
        <v>43</v>
      </c>
      <c r="J16" s="55" t="s">
        <v>390</v>
      </c>
    </row>
    <row r="17" spans="2:10" x14ac:dyDescent="0.25">
      <c r="B17" s="42" t="s">
        <v>391</v>
      </c>
      <c r="C17" s="57">
        <f>SUM(C5:C16)</f>
        <v>505000</v>
      </c>
      <c r="D17" s="56"/>
      <c r="E17" s="56"/>
      <c r="F17" s="56"/>
      <c r="G17" s="56"/>
      <c r="H17" s="58">
        <f>SUM(H5:H16)</f>
        <v>13000</v>
      </c>
      <c r="I17" s="57">
        <f>C17/H17</f>
        <v>39</v>
      </c>
      <c r="J17" s="56"/>
    </row>
    <row r="19" spans="2:10" x14ac:dyDescent="0.25">
      <c r="B19" s="9" t="s">
        <v>392</v>
      </c>
      <c r="C19" s="9"/>
      <c r="D19" s="9"/>
      <c r="E19" s="9"/>
      <c r="F19" s="9"/>
      <c r="G19" s="9"/>
      <c r="H19" s="9"/>
      <c r="I19" s="9"/>
      <c r="J19" s="9"/>
    </row>
    <row r="20" ht="30" customHeight="1" spans="2:10" x14ac:dyDescent="0.25">
      <c r="B20" s="45" t="s">
        <v>393</v>
      </c>
      <c r="C20" s="45"/>
      <c r="D20" s="45"/>
      <c r="E20" s="45"/>
      <c r="F20" s="45"/>
      <c r="G20" s="45"/>
      <c r="H20" s="45"/>
      <c r="I20" s="45"/>
      <c r="J20" s="45"/>
    </row>
    <row r="21" ht="30" customHeight="1" spans="2:10" x14ac:dyDescent="0.25">
      <c r="B21" s="45" t="s">
        <v>394</v>
      </c>
      <c r="C21" s="45"/>
      <c r="D21" s="45"/>
      <c r="E21" s="45"/>
      <c r="F21" s="45"/>
      <c r="G21" s="45"/>
      <c r="H21" s="45"/>
      <c r="I21" s="45"/>
      <c r="J21" s="45"/>
    </row>
    <row r="22" ht="30" customHeight="1" spans="2:10" x14ac:dyDescent="0.25">
      <c r="B22" s="45" t="s">
        <v>395</v>
      </c>
      <c r="C22" s="45"/>
      <c r="D22" s="45"/>
      <c r="E22" s="45"/>
      <c r="F22" s="45"/>
      <c r="G22" s="45"/>
      <c r="H22" s="45"/>
      <c r="I22" s="45"/>
      <c r="J22" s="45"/>
    </row>
    <row r="23" ht="30" customHeight="1" spans="2:10" x14ac:dyDescent="0.25">
      <c r="B23" s="45" t="s">
        <v>396</v>
      </c>
      <c r="C23" s="45"/>
      <c r="D23" s="45"/>
      <c r="E23" s="45"/>
      <c r="F23" s="45"/>
      <c r="G23" s="45"/>
      <c r="H23" s="45"/>
      <c r="I23" s="45"/>
      <c r="J23" s="45"/>
    </row>
  </sheetData>
  <mergeCells count="5">
    <mergeCell ref="B19:J19"/>
    <mergeCell ref="B20:J20"/>
    <mergeCell ref="B21:J21"/>
    <mergeCell ref="B22:J22"/>
    <mergeCell ref="B23:J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E16"/>
  <sheetFormatPr defaultRowHeight="15" outlineLevelRow="0" outlineLevelCol="0" x14ac:dyDescent="55"/>
  <cols>
    <col min="1" max="1" width="2" customWidth="1"/>
    <col min="2" max="2" width="24" customWidth="1"/>
    <col min="3" max="5" width="50" customWidth="1"/>
  </cols>
  <sheetData>
    <row r="1" spans="2:2" x14ac:dyDescent="0.25">
      <c r="B1" s="1" t="s">
        <v>397</v>
      </c>
    </row>
    <row r="3" ht="30" customHeight="1" spans="1:5" s="7" customFormat="1" x14ac:dyDescent="0.25">
      <c r="A3" s="7"/>
      <c r="B3" s="8" t="s">
        <v>1</v>
      </c>
      <c r="C3" s="8" t="s">
        <v>398</v>
      </c>
      <c r="D3" s="8" t="s">
        <v>399</v>
      </c>
      <c r="E3" s="8" t="s">
        <v>400</v>
      </c>
    </row>
    <row r="4" ht="88" customHeight="1" spans="1:5" x14ac:dyDescent="0.25">
      <c r="B4" s="35" t="s">
        <v>401</v>
      </c>
      <c r="C4" s="40" t="s">
        <v>402</v>
      </c>
      <c r="D4" s="40" t="s">
        <v>403</v>
      </c>
      <c r="E4" s="40" t="s">
        <v>404</v>
      </c>
    </row>
    <row r="5" ht="88" customHeight="1" spans="1:5" x14ac:dyDescent="0.25">
      <c r="B5" s="4" t="s">
        <v>405</v>
      </c>
      <c r="C5" s="41" t="s">
        <v>406</v>
      </c>
      <c r="D5" s="41" t="s">
        <v>407</v>
      </c>
      <c r="E5" s="41" t="s">
        <v>408</v>
      </c>
    </row>
    <row r="6" ht="88" customHeight="1" spans="1:5" x14ac:dyDescent="0.25">
      <c r="B6" s="35" t="s">
        <v>409</v>
      </c>
      <c r="C6" s="40" t="s">
        <v>410</v>
      </c>
      <c r="D6" s="40" t="s">
        <v>411</v>
      </c>
      <c r="E6" s="40" t="s">
        <v>412</v>
      </c>
    </row>
    <row r="7" ht="88" customHeight="1" spans="1:5" x14ac:dyDescent="0.25">
      <c r="B7" s="4" t="s">
        <v>413</v>
      </c>
      <c r="C7" s="41" t="s">
        <v>414</v>
      </c>
      <c r="D7" s="41" t="s">
        <v>415</v>
      </c>
      <c r="E7" s="41" t="s">
        <v>416</v>
      </c>
    </row>
    <row r="8" ht="88" customHeight="1" spans="1:5" x14ac:dyDescent="0.25">
      <c r="B8" s="35" t="s">
        <v>417</v>
      </c>
      <c r="C8" s="40" t="s">
        <v>418</v>
      </c>
      <c r="D8" s="40" t="s">
        <v>419</v>
      </c>
      <c r="E8" s="40" t="s">
        <v>420</v>
      </c>
    </row>
    <row r="9" ht="88" customHeight="1" spans="1:5" x14ac:dyDescent="0.25">
      <c r="B9" s="4" t="s">
        <v>421</v>
      </c>
      <c r="C9" s="41" t="s">
        <v>422</v>
      </c>
      <c r="D9" s="41" t="s">
        <v>423</v>
      </c>
      <c r="E9" s="41" t="s">
        <v>424</v>
      </c>
    </row>
    <row r="11" spans="2:5" x14ac:dyDescent="0.25">
      <c r="B11" s="9" t="s">
        <v>425</v>
      </c>
      <c r="C11" s="9"/>
      <c r="D11" s="9"/>
      <c r="E11" s="9"/>
    </row>
    <row r="12" spans="1:4" s="4" customFormat="1" x14ac:dyDescent="0.25">
      <c r="A12" s="4"/>
      <c r="B12" s="42" t="s">
        <v>426</v>
      </c>
      <c r="C12" s="42" t="s">
        <v>427</v>
      </c>
      <c r="D12" s="42" t="s">
        <v>428</v>
      </c>
    </row>
    <row r="13" ht="34" customHeight="1" spans="1:4" x14ac:dyDescent="0.25">
      <c r="B13" t="s">
        <v>429</v>
      </c>
      <c r="C13" s="6" t="s">
        <v>430</v>
      </c>
      <c r="D13" s="2" t="s">
        <v>431</v>
      </c>
    </row>
    <row r="14" ht="34" customHeight="1" spans="1:4" x14ac:dyDescent="0.25">
      <c r="B14" t="s">
        <v>432</v>
      </c>
      <c r="C14" s="6" t="s">
        <v>433</v>
      </c>
      <c r="D14" s="2" t="s">
        <v>434</v>
      </c>
    </row>
    <row r="15" ht="34" customHeight="1" spans="1:4" x14ac:dyDescent="0.25">
      <c r="B15" t="s">
        <v>435</v>
      </c>
      <c r="C15" s="6" t="s">
        <v>436</v>
      </c>
      <c r="D15" s="2" t="s">
        <v>437</v>
      </c>
    </row>
    <row r="16" ht="34" customHeight="1" spans="1:4" x14ac:dyDescent="0.25">
      <c r="B16" t="s">
        <v>438</v>
      </c>
      <c r="C16" s="6" t="s">
        <v>439</v>
      </c>
      <c r="D16" s="2" t="s">
        <v>440</v>
      </c>
    </row>
  </sheetData>
  <mergeCells count="1"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B8A6"/>
  </sheetPr>
  <dimension ref="A1:F31"/>
  <sheetFormatPr defaultRowHeight="15" outlineLevelRow="0" outlineLevelCol="0" x14ac:dyDescent="55"/>
  <cols>
    <col min="1" max="1" width="2" customWidth="1"/>
    <col min="2" max="2" width="40" customWidth="1"/>
    <col min="3" max="5" width="16" customWidth="1"/>
    <col min="6" max="6" width="56" customWidth="1"/>
  </cols>
  <sheetData>
    <row r="1" spans="2:2" x14ac:dyDescent="0.25">
      <c r="B1" s="1" t="s">
        <v>441</v>
      </c>
    </row>
    <row r="3" spans="1:6" s="7" customFormat="1" x14ac:dyDescent="0.25">
      <c r="A3" s="7"/>
      <c r="B3" s="8" t="s">
        <v>1</v>
      </c>
      <c r="C3" s="8" t="s">
        <v>442</v>
      </c>
      <c r="D3" s="8" t="s">
        <v>33</v>
      </c>
      <c r="E3" s="8" t="s">
        <v>443</v>
      </c>
      <c r="F3" s="8" t="s">
        <v>444</v>
      </c>
    </row>
    <row r="4" spans="2:6" x14ac:dyDescent="0.25">
      <c r="B4" s="9" t="s">
        <v>445</v>
      </c>
      <c r="C4" s="9"/>
      <c r="D4" s="9"/>
      <c r="E4" s="9"/>
      <c r="F4" s="9"/>
    </row>
    <row r="5" ht="24" customHeight="1" spans="2:6" x14ac:dyDescent="0.25">
      <c r="B5" t="s">
        <v>446</v>
      </c>
      <c r="C5" s="11">
        <v>3.495</v>
      </c>
      <c r="D5" s="11">
        <v>4.394500000000001</v>
      </c>
      <c r="E5" s="11">
        <v>5.394</v>
      </c>
      <c r="F5" s="55" t="s">
        <v>447</v>
      </c>
    </row>
    <row r="6" ht="24" customHeight="1" spans="2:6" x14ac:dyDescent="0.25">
      <c r="B6" t="s">
        <v>448</v>
      </c>
      <c r="C6" s="13">
        <v>0.7</v>
      </c>
      <c r="D6" s="13">
        <v>0.78</v>
      </c>
      <c r="E6" s="13">
        <v>0.82</v>
      </c>
      <c r="F6" s="55" t="s">
        <v>449</v>
      </c>
    </row>
    <row r="7" ht="24" customHeight="1" spans="2:6" x14ac:dyDescent="0.25">
      <c r="B7" t="s">
        <v>144</v>
      </c>
      <c r="C7" s="15">
        <v>0.09</v>
      </c>
      <c r="D7" s="15">
        <v>0.065</v>
      </c>
      <c r="E7" s="15">
        <v>0.045</v>
      </c>
      <c r="F7" s="55" t="s">
        <v>450</v>
      </c>
    </row>
    <row r="8" ht="24" customHeight="1" spans="2:6" x14ac:dyDescent="0.25">
      <c r="B8" t="s">
        <v>451</v>
      </c>
      <c r="C8" s="17">
        <v>35</v>
      </c>
      <c r="D8" s="17">
        <v>25</v>
      </c>
      <c r="E8" s="17">
        <v>16</v>
      </c>
      <c r="F8" s="55" t="s">
        <v>452</v>
      </c>
    </row>
    <row r="9" ht="24" customHeight="1" spans="2:6" x14ac:dyDescent="0.25">
      <c r="B9" t="s">
        <v>453</v>
      </c>
      <c r="C9" s="64">
        <f>C5*C6/C7</f>
        <v>27.183333333333334</v>
      </c>
      <c r="D9" s="64">
        <f>D5*D6/D7</f>
        <v>52.73400000000001</v>
      </c>
      <c r="E9" s="64">
        <f>E5*E6/E7</f>
        <v>98.29066666666667</v>
      </c>
      <c r="F9" s="55" t="s">
        <v>454</v>
      </c>
    </row>
    <row r="10" ht="24" customHeight="1" spans="2:6" x14ac:dyDescent="0.25">
      <c r="B10" t="s">
        <v>455</v>
      </c>
      <c r="C10" s="65">
        <f>C9/C8</f>
        <v>0.7766666666666667</v>
      </c>
      <c r="D10" s="65">
        <f>D9/D8</f>
        <v>2.1093600000000006</v>
      </c>
      <c r="E10" s="65">
        <f>E9/E8</f>
        <v>6.143166666666667</v>
      </c>
      <c r="F10" s="55" t="s">
        <v>456</v>
      </c>
    </row>
    <row r="11" ht="24" customHeight="1" spans="2:6" x14ac:dyDescent="0.25">
      <c r="B11" t="s">
        <v>457</v>
      </c>
      <c r="C11" s="66">
        <f>C8/(C5*C6)</f>
        <v>14.30615164520744</v>
      </c>
      <c r="D11" s="66">
        <f>D8/(D5*D6)</f>
        <v>7.293499158330196</v>
      </c>
      <c r="E11" s="66">
        <f>E8/(E5*E6)</f>
        <v>3.6173887879034523</v>
      </c>
      <c r="F11" s="55" t="s">
        <v>458</v>
      </c>
    </row>
    <row r="13" spans="2:6" x14ac:dyDescent="0.25">
      <c r="B13" s="9" t="s">
        <v>459</v>
      </c>
      <c r="C13" s="9"/>
      <c r="D13" s="9"/>
      <c r="E13" s="9"/>
      <c r="F13" s="9"/>
    </row>
    <row r="14" ht="24" customHeight="1" spans="2:6" x14ac:dyDescent="0.25">
      <c r="B14" t="s">
        <v>460</v>
      </c>
      <c r="C14" s="11">
        <v>2.0349</v>
      </c>
      <c r="D14" s="11">
        <v>2.810368</v>
      </c>
      <c r="E14" s="11">
        <v>3.6119700000000003</v>
      </c>
      <c r="F14" s="55" t="s">
        <v>461</v>
      </c>
    </row>
    <row r="15" ht="24" customHeight="1" spans="2:6" x14ac:dyDescent="0.25">
      <c r="B15" t="s">
        <v>462</v>
      </c>
      <c r="C15" s="21">
        <v>3</v>
      </c>
      <c r="D15" s="21">
        <v>6</v>
      </c>
      <c r="E15" s="21">
        <v>10</v>
      </c>
      <c r="F15" s="55" t="s">
        <v>463</v>
      </c>
    </row>
    <row r="16" ht="24" customHeight="1" spans="2:6" x14ac:dyDescent="0.25">
      <c r="B16" t="s">
        <v>464</v>
      </c>
      <c r="C16" s="17">
        <v>8</v>
      </c>
      <c r="D16" s="17">
        <v>4</v>
      </c>
      <c r="E16" s="17">
        <v>2</v>
      </c>
      <c r="F16" s="55" t="s">
        <v>465</v>
      </c>
    </row>
    <row r="17" ht="24" customHeight="1" spans="2:5" x14ac:dyDescent="0.25">
      <c r="B17" t="s">
        <v>453</v>
      </c>
      <c r="C17" s="64">
        <f>C14*C15</f>
        <v>6.104699999999999</v>
      </c>
      <c r="D17" s="64">
        <f>D14*D15</f>
        <v>16.862208</v>
      </c>
      <c r="E17" s="64">
        <f>E14*E15</f>
        <v>36.1197</v>
      </c>
    </row>
    <row r="18" ht="24" customHeight="1" spans="2:6" x14ac:dyDescent="0.25">
      <c r="B18" t="s">
        <v>455</v>
      </c>
      <c r="C18" s="65">
        <f>C17/C16</f>
        <v>0.7630874999999999</v>
      </c>
      <c r="D18" s="65">
        <f>D17/D16</f>
        <v>4.215552</v>
      </c>
      <c r="E18" s="65">
        <f>E17/E16</f>
        <v>18.05985</v>
      </c>
      <c r="F18" s="55" t="s">
        <v>466</v>
      </c>
    </row>
    <row r="20" spans="2:6" x14ac:dyDescent="0.25">
      <c r="B20" s="9" t="s">
        <v>467</v>
      </c>
      <c r="C20" s="9"/>
      <c r="D20" s="9"/>
      <c r="E20" s="9"/>
      <c r="F20" s="9"/>
    </row>
    <row r="21" ht="24" customHeight="1" spans="2:6" x14ac:dyDescent="0.25">
      <c r="B21" t="s">
        <v>468</v>
      </c>
      <c r="C21" s="17">
        <v>130</v>
      </c>
      <c r="D21" s="17">
        <v>73</v>
      </c>
      <c r="E21" s="17">
        <v>46</v>
      </c>
      <c r="F21" s="55" t="s">
        <v>469</v>
      </c>
    </row>
    <row r="22" ht="24" customHeight="1" spans="2:5" x14ac:dyDescent="0.25">
      <c r="B22" t="s">
        <v>470</v>
      </c>
      <c r="C22" s="21">
        <v>4</v>
      </c>
      <c r="D22" s="21">
        <v>7</v>
      </c>
      <c r="E22" s="21">
        <v>9</v>
      </c>
    </row>
    <row r="23" ht="24" customHeight="1" spans="2:6" x14ac:dyDescent="0.25">
      <c r="B23" t="s">
        <v>471</v>
      </c>
      <c r="C23" s="17">
        <v>100</v>
      </c>
      <c r="D23" s="17">
        <v>250</v>
      </c>
      <c r="E23" s="17">
        <v>600</v>
      </c>
      <c r="F23" s="55" t="s">
        <v>472</v>
      </c>
    </row>
    <row r="24" ht="24" customHeight="1" spans="2:5" x14ac:dyDescent="0.25">
      <c r="B24" t="s">
        <v>473</v>
      </c>
      <c r="C24" s="64">
        <f>C23*2</f>
        <v>200</v>
      </c>
      <c r="D24" s="64">
        <f>D23*2</f>
        <v>500</v>
      </c>
      <c r="E24" s="64">
        <f>E23*2</f>
        <v>1200</v>
      </c>
    </row>
    <row r="25" ht="24" customHeight="1" spans="2:6" x14ac:dyDescent="0.25">
      <c r="B25" t="s">
        <v>455</v>
      </c>
      <c r="C25" s="65">
        <f>C24/C21</f>
        <v>1.5384615384615385</v>
      </c>
      <c r="D25" s="65">
        <f>D24/D21</f>
        <v>6.8493150684931505</v>
      </c>
      <c r="E25" s="65">
        <f>E24/E21</f>
        <v>26.08695652173913</v>
      </c>
      <c r="F25" s="55" t="s">
        <v>474</v>
      </c>
    </row>
    <row r="27" spans="2:6" x14ac:dyDescent="0.25">
      <c r="B27" s="9" t="s">
        <v>475</v>
      </c>
      <c r="C27" s="9"/>
      <c r="D27" s="9"/>
      <c r="E27" s="9"/>
      <c r="F27" s="9"/>
    </row>
    <row r="28" ht="30" customHeight="1" spans="2:6" x14ac:dyDescent="0.25">
      <c r="B28" s="45" t="s">
        <v>476</v>
      </c>
      <c r="C28" s="45"/>
      <c r="D28" s="45"/>
      <c r="E28" s="45"/>
      <c r="F28" s="45"/>
    </row>
    <row r="29" ht="30" customHeight="1" spans="2:6" x14ac:dyDescent="0.25">
      <c r="B29" s="45" t="s">
        <v>477</v>
      </c>
      <c r="C29" s="45"/>
      <c r="D29" s="45"/>
      <c r="E29" s="45"/>
      <c r="F29" s="45"/>
    </row>
    <row r="30" ht="30" customHeight="1" spans="2:6" x14ac:dyDescent="0.25">
      <c r="B30" s="45" t="s">
        <v>478</v>
      </c>
      <c r="C30" s="45"/>
      <c r="D30" s="45"/>
      <c r="E30" s="45"/>
      <c r="F30" s="45"/>
    </row>
    <row r="31" ht="30" customHeight="1" spans="2:6" x14ac:dyDescent="0.25">
      <c r="B31" s="45" t="s">
        <v>479</v>
      </c>
      <c r="C31" s="45"/>
      <c r="D31" s="45"/>
      <c r="E31" s="45"/>
      <c r="F31" s="45"/>
    </row>
  </sheetData>
  <mergeCells count="8">
    <mergeCell ref="B4:F4"/>
    <mergeCell ref="B13:F13"/>
    <mergeCell ref="B20:F20"/>
    <mergeCell ref="B27:F27"/>
    <mergeCell ref="B28:F28"/>
    <mergeCell ref="B29:F29"/>
    <mergeCell ref="B30:F30"/>
    <mergeCell ref="B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H19"/>
  <sheetFormatPr defaultRowHeight="15" outlineLevelRow="0" outlineLevelCol="0" x14ac:dyDescent="55"/>
  <cols>
    <col min="1" max="1" width="2" customWidth="1"/>
    <col min="2" max="2" width="34" customWidth="1"/>
    <col min="3" max="3" width="18" customWidth="1"/>
    <col min="4" max="7" width="13" customWidth="1"/>
    <col min="8" max="8" width="46" customWidth="1"/>
  </cols>
  <sheetData>
    <row r="1" spans="2:2" x14ac:dyDescent="0.25">
      <c r="B1" s="1" t="s">
        <v>480</v>
      </c>
    </row>
    <row r="3" spans="1:8" s="7" customFormat="1" x14ac:dyDescent="0.25">
      <c r="A3" s="7"/>
      <c r="B3" s="8" t="s">
        <v>481</v>
      </c>
      <c r="C3" s="8" t="s">
        <v>482</v>
      </c>
      <c r="D3" s="8" t="s">
        <v>483</v>
      </c>
      <c r="E3" s="8" t="s">
        <v>484</v>
      </c>
      <c r="F3" s="8" t="s">
        <v>485</v>
      </c>
      <c r="G3" s="8" t="s">
        <v>486</v>
      </c>
      <c r="H3" s="8" t="s">
        <v>366</v>
      </c>
    </row>
    <row r="4" ht="26" customHeight="1" spans="1:8" x14ac:dyDescent="0.25">
      <c r="B4" s="36" t="s">
        <v>487</v>
      </c>
      <c r="C4" s="67">
        <v>120000</v>
      </c>
      <c r="D4" s="36" t="s">
        <v>488</v>
      </c>
      <c r="E4" s="68">
        <v>1</v>
      </c>
      <c r="F4" s="68">
        <v>1</v>
      </c>
      <c r="G4" s="68">
        <v>1</v>
      </c>
      <c r="H4" s="69" t="s">
        <v>489</v>
      </c>
    </row>
    <row r="5" ht="26" customHeight="1" spans="1:8" x14ac:dyDescent="0.25">
      <c r="B5" t="s">
        <v>490</v>
      </c>
      <c r="C5" s="17">
        <v>140000</v>
      </c>
      <c r="D5" t="s">
        <v>488</v>
      </c>
      <c r="E5" s="70">
        <v>1</v>
      </c>
      <c r="F5" s="70">
        <v>1</v>
      </c>
      <c r="G5" s="70">
        <v>1</v>
      </c>
      <c r="H5" s="55" t="s">
        <v>491</v>
      </c>
    </row>
    <row r="6" ht="26" customHeight="1" spans="1:8" x14ac:dyDescent="0.25">
      <c r="B6" s="36" t="s">
        <v>492</v>
      </c>
      <c r="C6" s="67">
        <v>160000</v>
      </c>
      <c r="D6" s="36" t="s">
        <v>493</v>
      </c>
      <c r="E6" s="68">
        <v>1.5</v>
      </c>
      <c r="F6" s="68">
        <v>3</v>
      </c>
      <c r="G6" s="68">
        <v>5</v>
      </c>
      <c r="H6" s="69" t="s">
        <v>494</v>
      </c>
    </row>
    <row r="7" ht="26" customHeight="1" spans="1:8" x14ac:dyDescent="0.25">
      <c r="B7" t="s">
        <v>495</v>
      </c>
      <c r="C7" s="17">
        <v>175000</v>
      </c>
      <c r="D7" t="s">
        <v>496</v>
      </c>
      <c r="E7" s="70">
        <v>0</v>
      </c>
      <c r="F7" s="70">
        <v>1</v>
      </c>
      <c r="G7" s="70">
        <v>2</v>
      </c>
      <c r="H7" s="55" t="s">
        <v>497</v>
      </c>
    </row>
    <row r="8" ht="26" customHeight="1" spans="1:8" x14ac:dyDescent="0.25">
      <c r="B8" s="36" t="s">
        <v>498</v>
      </c>
      <c r="C8" s="67">
        <v>140000</v>
      </c>
      <c r="D8" s="36" t="s">
        <v>499</v>
      </c>
      <c r="E8" s="68">
        <v>0.5</v>
      </c>
      <c r="F8" s="68">
        <v>1</v>
      </c>
      <c r="G8" s="68">
        <v>1.5</v>
      </c>
      <c r="H8" s="69" t="s">
        <v>500</v>
      </c>
    </row>
    <row r="9" ht="26" customHeight="1" spans="1:8" x14ac:dyDescent="0.25">
      <c r="B9" t="s">
        <v>501</v>
      </c>
      <c r="C9" s="17">
        <v>130000</v>
      </c>
      <c r="D9" t="s">
        <v>502</v>
      </c>
      <c r="E9" s="70">
        <v>0.8</v>
      </c>
      <c r="F9" s="70">
        <v>1</v>
      </c>
      <c r="G9" s="70">
        <v>1</v>
      </c>
      <c r="H9" s="55" t="s">
        <v>503</v>
      </c>
    </row>
    <row r="10" ht="26" customHeight="1" spans="1:8" x14ac:dyDescent="0.25">
      <c r="B10" s="36" t="s">
        <v>504</v>
      </c>
      <c r="C10" s="67">
        <v>95000</v>
      </c>
      <c r="D10" s="36" t="s">
        <v>505</v>
      </c>
      <c r="E10" s="68">
        <v>0.7</v>
      </c>
      <c r="F10" s="68">
        <v>2</v>
      </c>
      <c r="G10" s="68">
        <v>4</v>
      </c>
      <c r="H10" s="69" t="s">
        <v>506</v>
      </c>
    </row>
    <row r="11" ht="26" customHeight="1" spans="1:8" x14ac:dyDescent="0.25">
      <c r="B11" t="s">
        <v>507</v>
      </c>
      <c r="C11" s="17">
        <v>135000</v>
      </c>
      <c r="D11" t="s">
        <v>508</v>
      </c>
      <c r="E11" s="70">
        <v>0.4</v>
      </c>
      <c r="F11" s="70">
        <v>1</v>
      </c>
      <c r="G11" s="70">
        <v>2</v>
      </c>
      <c r="H11" s="55" t="s">
        <v>509</v>
      </c>
    </row>
    <row r="12" ht="26" customHeight="1" spans="1:8" x14ac:dyDescent="0.25">
      <c r="B12" s="36" t="s">
        <v>510</v>
      </c>
      <c r="C12" s="67">
        <v>90000</v>
      </c>
      <c r="D12" s="36" t="s">
        <v>511</v>
      </c>
      <c r="E12" s="68">
        <v>0.2</v>
      </c>
      <c r="F12" s="68">
        <v>1</v>
      </c>
      <c r="G12" s="68">
        <v>2</v>
      </c>
      <c r="H12" s="69" t="s">
        <v>512</v>
      </c>
    </row>
    <row r="13" ht="26" customHeight="1" spans="1:8" x14ac:dyDescent="0.25">
      <c r="B13" t="s">
        <v>513</v>
      </c>
      <c r="C13" s="17">
        <v>65000</v>
      </c>
      <c r="D13" t="s">
        <v>496</v>
      </c>
      <c r="E13" s="70">
        <v>0.1</v>
      </c>
      <c r="F13" s="70">
        <v>1</v>
      </c>
      <c r="G13" s="70">
        <v>2.5</v>
      </c>
      <c r="H13" s="55" t="s">
        <v>514</v>
      </c>
    </row>
    <row r="14" ht="26" customHeight="1" spans="1:8" x14ac:dyDescent="0.25">
      <c r="B14" s="36" t="s">
        <v>515</v>
      </c>
      <c r="C14" s="67">
        <v>110000</v>
      </c>
      <c r="D14" s="36" t="s">
        <v>516</v>
      </c>
      <c r="E14" s="68">
        <v>0.3</v>
      </c>
      <c r="F14" s="68">
        <v>0.5</v>
      </c>
      <c r="G14" s="68">
        <v>1</v>
      </c>
      <c r="H14" s="69" t="s">
        <v>517</v>
      </c>
    </row>
    <row r="15" ht="26" customHeight="1" spans="1:8" x14ac:dyDescent="0.25">
      <c r="B15" t="s">
        <v>518</v>
      </c>
      <c r="C15" s="17">
        <v>80000</v>
      </c>
      <c r="D15" t="s">
        <v>519</v>
      </c>
      <c r="E15" s="70">
        <v>0.5</v>
      </c>
      <c r="F15" s="70">
        <v>1.5</v>
      </c>
      <c r="G15" s="70">
        <v>3</v>
      </c>
      <c r="H15" s="55" t="s">
        <v>520</v>
      </c>
    </row>
    <row r="16" spans="2:8" x14ac:dyDescent="0.25">
      <c r="B16" s="42" t="s">
        <v>521</v>
      </c>
      <c r="C16" s="56"/>
      <c r="D16" s="56"/>
      <c r="E16" s="71">
        <f>SUM(E4:E15)</f>
        <v>7</v>
      </c>
      <c r="F16" s="71">
        <f>SUM(F4:F15)</f>
        <v>15</v>
      </c>
      <c r="G16" s="71">
        <f>SUM(G4:G15)</f>
        <v>26</v>
      </c>
      <c r="H16" s="56"/>
    </row>
    <row r="17" spans="2:8" x14ac:dyDescent="0.25">
      <c r="B17" s="42" t="s">
        <v>522</v>
      </c>
      <c r="C17" s="56"/>
      <c r="D17" s="56"/>
      <c r="E17" s="57">
        <f>SUMPRODUCT($C$4:$C$15,E4:E15)</f>
        <v>892000</v>
      </c>
      <c r="F17" s="57">
        <f>SUMPRODUCT($C$4:$C$15,F4:F15)</f>
        <v>1840000</v>
      </c>
      <c r="G17" s="57">
        <f>SUMPRODUCT($C$4:$C$15,G4:G15)</f>
        <v>3092500</v>
      </c>
      <c r="H17" s="56"/>
    </row>
    <row r="19" ht="44" customHeight="1" spans="2:8" x14ac:dyDescent="0.25">
      <c r="B19" s="72" t="s">
        <v>523</v>
      </c>
      <c r="C19" s="72"/>
      <c r="D19" s="72"/>
      <c r="E19" s="72"/>
      <c r="F19" s="72"/>
      <c r="G19" s="72"/>
      <c r="H19" s="72"/>
    </row>
  </sheetData>
  <mergeCells count="1">
    <mergeCell ref="B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CC16"/>
  </sheetPr>
  <dimension ref="A1:E13"/>
  <sheetFormatPr defaultRowHeight="15" outlineLevelRow="0" outlineLevelCol="0" x14ac:dyDescent="55"/>
  <cols>
    <col min="1" max="1" width="2" customWidth="1"/>
    <col min="2" max="2" width="30" customWidth="1"/>
    <col min="3" max="4" width="16" customWidth="1"/>
    <col min="5" max="5" width="64" customWidth="1"/>
  </cols>
  <sheetData>
    <row r="1" spans="2:2" x14ac:dyDescent="0.25">
      <c r="B1" s="1" t="s">
        <v>524</v>
      </c>
    </row>
    <row r="3" spans="2:3" x14ac:dyDescent="0.25">
      <c r="B3" s="4" t="s">
        <v>525</v>
      </c>
      <c r="C3" s="17">
        <v>4000000</v>
      </c>
    </row>
    <row r="5" spans="1:5" s="7" customFormat="1" x14ac:dyDescent="0.25">
      <c r="A5" s="7"/>
      <c r="B5" s="8" t="s">
        <v>526</v>
      </c>
      <c r="C5" s="8" t="s">
        <v>527</v>
      </c>
      <c r="D5" s="8" t="s">
        <v>528</v>
      </c>
      <c r="E5" s="8" t="s">
        <v>529</v>
      </c>
    </row>
    <row r="6" ht="38" customHeight="1" spans="2:5" x14ac:dyDescent="0.25">
      <c r="B6" s="35" t="s">
        <v>530</v>
      </c>
      <c r="C6" s="73">
        <v>0.38</v>
      </c>
      <c r="D6" s="74">
        <f>C6*$C$3</f>
        <v>1520000</v>
      </c>
      <c r="E6" s="40" t="s">
        <v>531</v>
      </c>
    </row>
    <row r="7" ht="38" customHeight="1" spans="2:5" x14ac:dyDescent="0.25">
      <c r="B7" s="4" t="s">
        <v>532</v>
      </c>
      <c r="C7" s="13">
        <v>0.24</v>
      </c>
      <c r="D7" s="31">
        <f>C7*$C$3</f>
        <v>960000</v>
      </c>
      <c r="E7" s="41" t="s">
        <v>533</v>
      </c>
    </row>
    <row r="8" ht="38" customHeight="1" spans="2:5" x14ac:dyDescent="0.25">
      <c r="B8" s="35" t="s">
        <v>534</v>
      </c>
      <c r="C8" s="73">
        <v>0.14</v>
      </c>
      <c r="D8" s="74">
        <f>C8*$C$3</f>
        <v>560000</v>
      </c>
      <c r="E8" s="40" t="s">
        <v>535</v>
      </c>
    </row>
    <row r="9" ht="38" customHeight="1" spans="2:5" x14ac:dyDescent="0.25">
      <c r="B9" s="4" t="s">
        <v>536</v>
      </c>
      <c r="C9" s="13">
        <v>0.08</v>
      </c>
      <c r="D9" s="31">
        <f>C9*$C$3</f>
        <v>320000</v>
      </c>
      <c r="E9" s="41" t="s">
        <v>537</v>
      </c>
    </row>
    <row r="10" ht="38" customHeight="1" spans="2:5" x14ac:dyDescent="0.25">
      <c r="B10" s="35" t="s">
        <v>538</v>
      </c>
      <c r="C10" s="73">
        <v>0.06</v>
      </c>
      <c r="D10" s="74">
        <f>C10*$C$3</f>
        <v>240000</v>
      </c>
      <c r="E10" s="40" t="s">
        <v>539</v>
      </c>
    </row>
    <row r="11" ht="38" customHeight="1" spans="2:5" x14ac:dyDescent="0.25">
      <c r="B11" s="4" t="s">
        <v>540</v>
      </c>
      <c r="C11" s="13">
        <v>0.05</v>
      </c>
      <c r="D11" s="31">
        <f>C11*$C$3</f>
        <v>200000</v>
      </c>
      <c r="E11" s="41" t="s">
        <v>541</v>
      </c>
    </row>
    <row r="12" ht="38" customHeight="1" spans="2:5" x14ac:dyDescent="0.25">
      <c r="B12" s="35" t="s">
        <v>542</v>
      </c>
      <c r="C12" s="73">
        <v>0.05</v>
      </c>
      <c r="D12" s="74">
        <f>C12*$C$3</f>
        <v>200000</v>
      </c>
      <c r="E12" s="40" t="s">
        <v>543</v>
      </c>
    </row>
    <row r="13" spans="2:5" x14ac:dyDescent="0.25">
      <c r="B13" s="42" t="s">
        <v>391</v>
      </c>
      <c r="C13" s="75">
        <f>SUM(C6:C12)</f>
        <v>1</v>
      </c>
      <c r="D13" s="57">
        <f>SUM(D6:D12)</f>
        <v>4000000</v>
      </c>
      <c r="E13" s="5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F13"/>
  <sheetFormatPr defaultRowHeight="15" outlineLevelRow="0" outlineLevelCol="0" x14ac:dyDescent="55"/>
  <cols>
    <col min="1" max="1" width="2" customWidth="1"/>
    <col min="2" max="2" width="30" customWidth="1"/>
    <col min="3" max="5" width="20" customWidth="1"/>
    <col min="6" max="6" width="60" customWidth="1"/>
  </cols>
  <sheetData>
    <row r="1" spans="2:2" x14ac:dyDescent="0.25">
      <c r="B1" s="1" t="s">
        <v>544</v>
      </c>
    </row>
    <row r="3" spans="1:6" s="7" customFormat="1" x14ac:dyDescent="0.25">
      <c r="A3" s="7"/>
      <c r="B3" s="8" t="s">
        <v>545</v>
      </c>
      <c r="C3" s="8" t="s">
        <v>546</v>
      </c>
      <c r="D3" s="8" t="s">
        <v>547</v>
      </c>
      <c r="E3" s="8" t="s">
        <v>548</v>
      </c>
      <c r="F3" s="8" t="s">
        <v>549</v>
      </c>
    </row>
    <row r="4" ht="62" customHeight="1" spans="1:6" x14ac:dyDescent="0.25">
      <c r="B4" s="35" t="s">
        <v>550</v>
      </c>
      <c r="C4" s="76" t="s">
        <v>551</v>
      </c>
      <c r="D4" s="77" t="s">
        <v>552</v>
      </c>
      <c r="E4" s="76" t="s">
        <v>553</v>
      </c>
      <c r="F4" s="37" t="s">
        <v>554</v>
      </c>
    </row>
    <row r="5" ht="62" customHeight="1" spans="1:6" x14ac:dyDescent="0.25">
      <c r="B5" s="4" t="s">
        <v>555</v>
      </c>
      <c r="C5" s="2" t="s">
        <v>556</v>
      </c>
      <c r="D5" s="3" t="s">
        <v>557</v>
      </c>
      <c r="E5" s="2" t="s">
        <v>558</v>
      </c>
      <c r="F5" s="38" t="s">
        <v>559</v>
      </c>
    </row>
    <row r="6" ht="62" customHeight="1" spans="1:6" x14ac:dyDescent="0.25">
      <c r="B6" s="35" t="s">
        <v>560</v>
      </c>
      <c r="C6" s="76" t="s">
        <v>561</v>
      </c>
      <c r="D6" s="77" t="s">
        <v>562</v>
      </c>
      <c r="E6" s="76" t="s">
        <v>563</v>
      </c>
      <c r="F6" s="37" t="s">
        <v>564</v>
      </c>
    </row>
    <row r="7" ht="62" customHeight="1" spans="1:6" x14ac:dyDescent="0.25">
      <c r="B7" s="4" t="s">
        <v>565</v>
      </c>
      <c r="C7" s="2" t="s">
        <v>566</v>
      </c>
      <c r="D7" s="3" t="s">
        <v>567</v>
      </c>
      <c r="E7" s="2" t="s">
        <v>568</v>
      </c>
      <c r="F7" s="38" t="s">
        <v>569</v>
      </c>
    </row>
    <row r="9" spans="2:6" x14ac:dyDescent="0.25">
      <c r="B9" s="9" t="s">
        <v>570</v>
      </c>
      <c r="C9" s="9"/>
      <c r="D9" s="9"/>
      <c r="E9" s="9"/>
      <c r="F9" s="9"/>
    </row>
    <row r="10" ht="32" customHeight="1" spans="2:6" x14ac:dyDescent="0.25">
      <c r="B10" s="45" t="s">
        <v>571</v>
      </c>
      <c r="C10" s="45"/>
      <c r="D10" s="45"/>
      <c r="E10" s="45"/>
      <c r="F10" s="45"/>
    </row>
    <row r="11" ht="32" customHeight="1" spans="2:6" x14ac:dyDescent="0.25">
      <c r="B11" s="45" t="s">
        <v>572</v>
      </c>
      <c r="C11" s="45"/>
      <c r="D11" s="45"/>
      <c r="E11" s="45"/>
      <c r="F11" s="45"/>
    </row>
    <row r="12" ht="32" customHeight="1" spans="2:6" x14ac:dyDescent="0.25">
      <c r="B12" s="45" t="s">
        <v>573</v>
      </c>
      <c r="C12" s="45"/>
      <c r="D12" s="45"/>
      <c r="E12" s="45"/>
      <c r="F12" s="45"/>
    </row>
    <row r="13" ht="32" customHeight="1" spans="2:6" x14ac:dyDescent="0.25">
      <c r="B13" s="45" t="s">
        <v>574</v>
      </c>
      <c r="C13" s="45"/>
      <c r="D13" s="45"/>
      <c r="E13" s="45"/>
      <c r="F13" s="45"/>
    </row>
  </sheetData>
  <mergeCells count="5">
    <mergeCell ref="B9:F9"/>
    <mergeCell ref="B10:F10"/>
    <mergeCell ref="B11:F11"/>
    <mergeCell ref="B12:F12"/>
    <mergeCell ref="B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F11"/>
  <sheetFormatPr defaultRowHeight="15" outlineLevelRow="0" outlineLevelCol="0" x14ac:dyDescent="55"/>
  <cols>
    <col min="1" max="1" width="2" customWidth="1"/>
    <col min="2" max="2" width="24" customWidth="1"/>
    <col min="3" max="4" width="12" customWidth="1"/>
    <col min="5" max="6" width="56" customWidth="1"/>
  </cols>
  <sheetData>
    <row r="1" spans="2:2" x14ac:dyDescent="0.25">
      <c r="B1" s="1" t="s">
        <v>575</v>
      </c>
    </row>
    <row r="3" spans="1:6" s="7" customFormat="1" x14ac:dyDescent="0.25">
      <c r="A3" s="7"/>
      <c r="B3" s="8" t="s">
        <v>576</v>
      </c>
      <c r="C3" s="8" t="s">
        <v>577</v>
      </c>
      <c r="D3" s="8" t="s">
        <v>578</v>
      </c>
      <c r="E3" s="8" t="s">
        <v>579</v>
      </c>
      <c r="F3" s="8" t="s">
        <v>580</v>
      </c>
    </row>
    <row r="4" ht="72" customHeight="1" spans="1:6" x14ac:dyDescent="0.25">
      <c r="B4" s="35" t="s">
        <v>581</v>
      </c>
      <c r="C4" s="78" t="s">
        <v>582</v>
      </c>
      <c r="D4" s="78" t="s">
        <v>582</v>
      </c>
      <c r="E4" s="40" t="s">
        <v>583</v>
      </c>
      <c r="F4" s="40" t="s">
        <v>584</v>
      </c>
    </row>
    <row r="5" ht="72" customHeight="1" spans="1:6" x14ac:dyDescent="0.25">
      <c r="B5" s="4" t="s">
        <v>585</v>
      </c>
      <c r="C5" s="79" t="s">
        <v>586</v>
      </c>
      <c r="D5" s="79" t="s">
        <v>587</v>
      </c>
      <c r="E5" s="41" t="s">
        <v>588</v>
      </c>
      <c r="F5" s="41" t="s">
        <v>589</v>
      </c>
    </row>
    <row r="6" ht="72" customHeight="1" spans="1:6" x14ac:dyDescent="0.25">
      <c r="B6" s="35" t="s">
        <v>590</v>
      </c>
      <c r="C6" s="78" t="s">
        <v>587</v>
      </c>
      <c r="D6" s="78" t="s">
        <v>582</v>
      </c>
      <c r="E6" s="40" t="s">
        <v>591</v>
      </c>
      <c r="F6" s="40" t="s">
        <v>592</v>
      </c>
    </row>
    <row r="7" ht="72" customHeight="1" spans="1:6" x14ac:dyDescent="0.25">
      <c r="B7" s="4" t="s">
        <v>593</v>
      </c>
      <c r="C7" s="79" t="s">
        <v>587</v>
      </c>
      <c r="D7" s="79" t="s">
        <v>587</v>
      </c>
      <c r="E7" s="41" t="s">
        <v>594</v>
      </c>
      <c r="F7" s="41" t="s">
        <v>595</v>
      </c>
    </row>
    <row r="8" ht="72" customHeight="1" spans="1:6" x14ac:dyDescent="0.25">
      <c r="B8" s="35" t="s">
        <v>596</v>
      </c>
      <c r="C8" s="78" t="s">
        <v>582</v>
      </c>
      <c r="D8" s="78" t="s">
        <v>587</v>
      </c>
      <c r="E8" s="40" t="s">
        <v>597</v>
      </c>
      <c r="F8" s="40" t="s">
        <v>598</v>
      </c>
    </row>
    <row r="9" ht="72" customHeight="1" spans="1:6" x14ac:dyDescent="0.25">
      <c r="B9" s="4" t="s">
        <v>599</v>
      </c>
      <c r="C9" s="79" t="s">
        <v>586</v>
      </c>
      <c r="D9" s="79" t="s">
        <v>582</v>
      </c>
      <c r="E9" s="41" t="s">
        <v>600</v>
      </c>
      <c r="F9" s="41" t="s">
        <v>601</v>
      </c>
    </row>
    <row r="10" ht="72" customHeight="1" spans="1:6" x14ac:dyDescent="0.25">
      <c r="B10" s="35" t="s">
        <v>602</v>
      </c>
      <c r="C10" s="78" t="s">
        <v>587</v>
      </c>
      <c r="D10" s="78" t="s">
        <v>582</v>
      </c>
      <c r="E10" s="40" t="s">
        <v>603</v>
      </c>
      <c r="F10" s="40" t="s">
        <v>604</v>
      </c>
    </row>
    <row r="11" ht="72" customHeight="1" spans="1:6" x14ac:dyDescent="0.25">
      <c r="B11" s="4" t="s">
        <v>605</v>
      </c>
      <c r="C11" s="79" t="s">
        <v>586</v>
      </c>
      <c r="D11" s="79" t="s">
        <v>606</v>
      </c>
      <c r="E11" s="41" t="s">
        <v>607</v>
      </c>
      <c r="F11" s="41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Assumptions</vt:lpstr>
      <vt:lpstr>Model</vt:lpstr>
      <vt:lpstr>Market</vt:lpstr>
      <vt:lpstr>Competition</vt:lpstr>
      <vt:lpstr>GTM-Creators</vt:lpstr>
      <vt:lpstr>GTM-Viewers</vt:lpstr>
      <vt:lpstr>Bootstrapping</vt:lpstr>
      <vt:lpstr>UnitEcon</vt:lpstr>
      <vt:lpstr>Hiring</vt:lpstr>
      <vt:lpstr>UseOfFunds</vt:lpstr>
      <vt:lpstr>Valuation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YouMakeTV</dc:creator>
  <dc:title/>
  <dc:subject/>
  <dc:description/>
  <cp:keywords/>
  <cp:category/>
  <cp:lastModifiedBy>Unknown</cp:lastModifiedBy>
  <dcterms:created xsi:type="dcterms:W3CDTF">2026-06-11T06:59:53Z</dcterms:created>
  <dcterms:modified xsi:type="dcterms:W3CDTF">2026-06-11T06:59:53Z</dcterms:modified>
</cp:coreProperties>
</file>